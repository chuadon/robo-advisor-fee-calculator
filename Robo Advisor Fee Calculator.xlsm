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OneDrive\Documents\Proj\excel\RoboAdvisors fee calculator\"/>
    </mc:Choice>
  </mc:AlternateContent>
  <xr:revisionPtr revIDLastSave="783" documentId="11_672BDC89E690B400210F4DA0FA2DF0439BA15EC6" xr6:coauthVersionLast="41" xr6:coauthVersionMax="41" xr10:uidLastSave="{474BA650-C3F6-4F81-8E98-3B9CC7047EEA}"/>
  <bookViews>
    <workbookView xWindow="810" yWindow="-120" windowWidth="19800" windowHeight="11760" xr2:uid="{00000000-000D-0000-FFFF-FFFF00000000}"/>
  </bookViews>
  <sheets>
    <sheet name="Dashboard" sheetId="2" r:id="rId1"/>
    <sheet name="README" sheetId="8" r:id="rId2"/>
    <sheet name="Min" sheetId="7" r:id="rId3"/>
    <sheet name="PortfolioFees" sheetId="3" r:id="rId4"/>
    <sheet name="PlatformFees" sheetId="5" r:id="rId5"/>
    <sheet name="Ex Rates" sheetId="6" r:id="rId6"/>
  </sheets>
  <externalReferences>
    <externalReference r:id="rId7"/>
  </externalReferences>
  <definedNames>
    <definedName name="ExternalData_1" localSheetId="5" hidden="1">'Ex Rates'!$A$1:$B$2</definedName>
    <definedName name="nmr_DBSCounters">[1]!tbl_DBSCounters[DBS]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2" l="1"/>
  <c r="E4" i="2"/>
  <c r="E6" i="2"/>
  <c r="E7" i="2"/>
  <c r="E8" i="2"/>
  <c r="E9" i="2"/>
  <c r="E10" i="2"/>
  <c r="E13" i="2"/>
  <c r="E11" i="2"/>
  <c r="C9" i="2"/>
  <c r="C7" i="2" l="1"/>
  <c r="C5" i="2" l="1"/>
  <c r="C12" i="2"/>
  <c r="C10" i="2"/>
  <c r="C4" i="2"/>
  <c r="C6" i="2"/>
  <c r="C13" i="2"/>
  <c r="C8" i="2"/>
  <c r="C11" i="2"/>
  <c r="B2" i="5" l="1"/>
  <c r="A3" i="2" l="1"/>
  <c r="E3" i="2" l="1"/>
  <c r="C3" i="2"/>
  <c r="D3" i="2" l="1"/>
  <c r="G3" i="2"/>
  <c r="F3" i="2" l="1"/>
  <c r="H3" i="2" s="1"/>
  <c r="E2" i="2" l="1"/>
  <c r="A2" i="2"/>
  <c r="C2" i="2" l="1"/>
  <c r="D2" i="2" s="1"/>
  <c r="F2" i="2" l="1"/>
  <c r="G2" i="2"/>
  <c r="H2" i="2" s="1"/>
  <c r="B4" i="2" l="1"/>
  <c r="B5" i="2" s="1"/>
  <c r="G5" i="2" l="1"/>
  <c r="D5" i="2"/>
  <c r="F5" i="2" s="1"/>
  <c r="H5" i="2" s="1"/>
  <c r="E5" i="2"/>
  <c r="D4" i="2"/>
  <c r="B6" i="2"/>
  <c r="G4" i="2"/>
  <c r="B7" i="2" l="1"/>
  <c r="D6" i="2"/>
  <c r="G6" i="2"/>
  <c r="H4" i="2"/>
  <c r="F4" i="2"/>
  <c r="F6" i="2" l="1"/>
  <c r="H6" i="2" s="1"/>
  <c r="G7" i="2"/>
  <c r="D7" i="2"/>
  <c r="B45" i="3"/>
  <c r="C45" i="3" s="1"/>
  <c r="B15" i="5" s="1"/>
  <c r="F7" i="2" l="1"/>
  <c r="H7" i="2" s="1"/>
  <c r="B8" i="2" l="1"/>
  <c r="B9" i="2" s="1"/>
  <c r="D9" i="2" l="1"/>
  <c r="G9" i="2"/>
  <c r="B10" i="2"/>
  <c r="G8" i="2"/>
  <c r="D8" i="2"/>
  <c r="G10" i="2" l="1"/>
  <c r="D10" i="2"/>
  <c r="B11" i="2"/>
  <c r="H9" i="2"/>
  <c r="F9" i="2"/>
  <c r="F8" i="2"/>
  <c r="H8" i="2" s="1"/>
  <c r="G11" i="2" l="1"/>
  <c r="D11" i="2"/>
  <c r="B12" i="2"/>
  <c r="H10" i="2"/>
  <c r="F10" i="2"/>
  <c r="E12" i="2" l="1"/>
  <c r="D12" i="2"/>
  <c r="B13" i="2"/>
  <c r="G12" i="2"/>
  <c r="H11" i="2"/>
  <c r="F11" i="2"/>
  <c r="D13" i="2" l="1"/>
  <c r="G13" i="2"/>
  <c r="H12" i="2"/>
  <c r="F12" i="2"/>
  <c r="H13" i="2" l="1"/>
  <c r="F1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FCE317-AF23-42EA-BA21-F512E9EAF788}" keepAlive="1" name="Query - Singapore Dollar Exchange Rates Table Converter" description="Connection to the 'Singapore Dollar Exchange Rates Table Converter' query in the workbook." type="5" refreshedVersion="6" background="1" refreshOnLoad="1" saveData="1">
    <dbPr connection="Provider=Microsoft.Mashup.OleDb.1;Data Source=$Workbook$;Location=Singapore Dollar Exchange Rates Table Converter;Extended Properties=&quot;&quot;" command="SELECT * FROM [Singapore Dollar Exchange Rates Table Converter]"/>
  </connection>
</connections>
</file>

<file path=xl/sharedStrings.xml><?xml version="1.0" encoding="utf-8"?>
<sst xmlns="http://schemas.openxmlformats.org/spreadsheetml/2006/main" count="94" uniqueCount="43">
  <si>
    <t>Principal</t>
  </si>
  <si>
    <t>Fees</t>
  </si>
  <si>
    <t>Autowealth</t>
  </si>
  <si>
    <t>Stashaway</t>
  </si>
  <si>
    <t>Smartly</t>
  </si>
  <si>
    <t>endowus</t>
  </si>
  <si>
    <t>MoneyOwl</t>
  </si>
  <si>
    <t>Kristal.AI</t>
  </si>
  <si>
    <t>Utrade Robo</t>
  </si>
  <si>
    <t>OCBC RoboInvest</t>
  </si>
  <si>
    <t>Platform Fee</t>
  </si>
  <si>
    <t>Total Fees</t>
  </si>
  <si>
    <t>Portfolio Fee</t>
  </si>
  <si>
    <t>VL</t>
  </si>
  <si>
    <t>Amount</t>
  </si>
  <si>
    <t>Platform</t>
  </si>
  <si>
    <t>Endowus</t>
  </si>
  <si>
    <t>US Dollar</t>
  </si>
  <si>
    <t>inv. 1.00 SGD</t>
  </si>
  <si>
    <t>Singapore Dollar</t>
  </si>
  <si>
    <t>Portfolio Fee (%)</t>
  </si>
  <si>
    <t>DBS digiPortfolio</t>
  </si>
  <si>
    <t>Minimum Amt</t>
  </si>
  <si>
    <r>
      <t xml:space="preserve">Robo </t>
    </r>
    <r>
      <rPr>
        <sz val="16"/>
        <rFont val="Arial"/>
        <family val="2"/>
      </rPr>
      <t>-</t>
    </r>
    <r>
      <rPr>
        <sz val="16"/>
        <rFont val="Century Gothic"/>
        <family val="2"/>
      </rPr>
      <t xml:space="preserve"> Advisor</t>
    </r>
  </si>
  <si>
    <t>Able to Invest</t>
  </si>
  <si>
    <t>Please don’t delete any sheets on the right, otherwise the programme will break!</t>
  </si>
  <si>
    <t>Syfe (Black)</t>
  </si>
  <si>
    <t>Syfe (Gold)</t>
  </si>
  <si>
    <t>Syfe (Blue)</t>
  </si>
  <si>
    <t>SquirrelSave</t>
  </si>
  <si>
    <t>Kristal.AI (Accredited)</t>
  </si>
  <si>
    <t>Account Type</t>
  </si>
  <si>
    <t>Amt</t>
  </si>
  <si>
    <r>
      <t>Syfe (</t>
    </r>
    <r>
      <rPr>
        <sz val="11"/>
        <color theme="4" tint="-0.499984740745262"/>
        <rFont val="Calibri"/>
        <family val="2"/>
      </rPr>
      <t>Blue</t>
    </r>
    <r>
      <rPr>
        <sz val="11"/>
        <color theme="1"/>
        <rFont val="Calibri"/>
        <family val="2"/>
      </rPr>
      <t>)</t>
    </r>
  </si>
  <si>
    <r>
      <t>Syfe (</t>
    </r>
    <r>
      <rPr>
        <sz val="11"/>
        <color theme="7" tint="-0.249977111117893"/>
        <rFont val="Calibri"/>
        <family val="2"/>
      </rPr>
      <t>Gold</t>
    </r>
    <r>
      <rPr>
        <sz val="11"/>
        <color theme="1"/>
        <rFont val="Calibri"/>
        <family val="2"/>
      </rPr>
      <t>)</t>
    </r>
  </si>
  <si>
    <t>SquirrelSave Performance Fee</t>
  </si>
  <si>
    <t>SquirrelSave p.a return</t>
  </si>
  <si>
    <t>SquirrelSave return</t>
  </si>
  <si>
    <r>
      <t>Please use the "</t>
    </r>
    <r>
      <rPr>
        <b/>
        <sz val="11"/>
        <color rgb="FFFF0000"/>
        <rFont val="Calibri"/>
        <family val="2"/>
      </rPr>
      <t>Input p.a for SquirrelSave</t>
    </r>
    <r>
      <rPr>
        <b/>
        <sz val="11"/>
        <color theme="1"/>
        <rFont val="Calibri"/>
        <family val="2"/>
      </rPr>
      <t>" button to select a predicted p.a % return for SquirrelSave in order to calculate the fees</t>
    </r>
  </si>
  <si>
    <r>
      <t>Click "</t>
    </r>
    <r>
      <rPr>
        <b/>
        <sz val="11"/>
        <color rgb="FFFF0000"/>
        <rFont val="Calibri"/>
        <family val="2"/>
      </rPr>
      <t>Input Principal</t>
    </r>
    <r>
      <rPr>
        <b/>
        <sz val="11"/>
        <color theme="1"/>
        <rFont val="Calibri"/>
        <family val="2"/>
      </rPr>
      <t>" button to enter investment amount to compute respective fees for all Robo-Advisors</t>
    </r>
  </si>
  <si>
    <t>For SquirrelSave, Platform Fee is Performance Fee of 10% on positive returns earnt.</t>
  </si>
  <si>
    <t>Philip SMART</t>
  </si>
  <si>
    <t>Min. Investment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</si>
</sst>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11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6"/>
      <name val="Century Gothic"/>
      <family val="2"/>
    </font>
    <font>
      <sz val="11"/>
      <color theme="1"/>
      <name val="Calibri"/>
      <family val="2"/>
    </font>
    <font>
      <sz val="16"/>
      <name val="Arial"/>
      <family val="2"/>
    </font>
    <font>
      <b/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theme="4" tint="-0.499984740745262"/>
      <name val="Calibri"/>
      <family val="2"/>
    </font>
    <font>
      <sz val="11"/>
      <color theme="7" tint="-0.249977111117893"/>
      <name val="Calibri"/>
      <family val="2"/>
    </font>
    <font>
      <b/>
      <sz val="16"/>
      <name val="Century Gothic"/>
      <family val="2"/>
    </font>
    <font>
      <b/>
      <sz val="16"/>
      <color theme="1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">
    <xf numFmtId="0" fontId="0" fillId="0" borderId="0"/>
    <xf numFmtId="0" fontId="1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29">
    <xf numFmtId="0" fontId="0" fillId="0" borderId="0" xfId="0"/>
    <xf numFmtId="10" fontId="0" fillId="0" borderId="0" xfId="0" applyNumberFormat="1"/>
    <xf numFmtId="10" fontId="0" fillId="2" borderId="2" xfId="0" applyNumberFormat="1" applyFont="1" applyFill="1" applyBorder="1"/>
    <xf numFmtId="10" fontId="0" fillId="0" borderId="2" xfId="0" applyNumberFormat="1" applyFont="1" applyBorder="1"/>
    <xf numFmtId="164" fontId="0" fillId="0" borderId="0" xfId="0" applyNumberFormat="1"/>
    <xf numFmtId="164" fontId="0" fillId="2" borderId="1" xfId="0" applyNumberFormat="1" applyFont="1" applyFill="1" applyBorder="1"/>
    <xf numFmtId="164" fontId="0" fillId="0" borderId="1" xfId="0" applyNumberFormat="1" applyFont="1" applyBorder="1"/>
    <xf numFmtId="164" fontId="0" fillId="2" borderId="3" xfId="0" applyNumberFormat="1" applyFont="1" applyFill="1" applyBorder="1"/>
    <xf numFmtId="10" fontId="0" fillId="2" borderId="4" xfId="0" applyNumberFormat="1" applyFont="1" applyFill="1" applyBorder="1"/>
    <xf numFmtId="0" fontId="1" fillId="0" borderId="0" xfId="1"/>
    <xf numFmtId="0" fontId="1" fillId="0" borderId="0" xfId="1" applyNumberFormat="1"/>
    <xf numFmtId="0" fontId="2" fillId="0" borderId="0" xfId="0" applyFont="1" applyFill="1"/>
    <xf numFmtId="9" fontId="0" fillId="0" borderId="0" xfId="0" applyNumberFormat="1"/>
    <xf numFmtId="164" fontId="0" fillId="0" borderId="0" xfId="0" applyNumberFormat="1" applyFont="1"/>
    <xf numFmtId="10" fontId="0" fillId="0" borderId="0" xfId="2" applyNumberFormat="1" applyFont="1"/>
    <xf numFmtId="0" fontId="2" fillId="0" borderId="0" xfId="0" applyFont="1" applyFill="1" applyAlignment="1">
      <alignment horizontal="justify"/>
    </xf>
    <xf numFmtId="0" fontId="2" fillId="0" borderId="0" xfId="0" applyFont="1" applyFill="1" applyAlignment="1">
      <alignment horizontal="justify" wrapText="1"/>
    </xf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0" fontId="0" fillId="0" borderId="0" xfId="0" applyFont="1"/>
    <xf numFmtId="0" fontId="2" fillId="0" borderId="0" xfId="0" applyNumberFormat="1" applyFont="1" applyFill="1"/>
    <xf numFmtId="0" fontId="5" fillId="0" borderId="0" xfId="0" applyFont="1"/>
    <xf numFmtId="0" fontId="5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9" fillId="0" borderId="0" xfId="0" applyFont="1" applyFill="1" applyAlignment="1">
      <alignment horizontal="justify" wrapText="1"/>
    </xf>
    <xf numFmtId="44" fontId="2" fillId="0" borderId="0" xfId="3" applyFont="1" applyFill="1" applyProtection="1">
      <protection locked="0"/>
    </xf>
    <xf numFmtId="44" fontId="2" fillId="0" borderId="0" xfId="3" applyFont="1" applyFill="1"/>
    <xf numFmtId="44" fontId="10" fillId="0" borderId="0" xfId="3" applyFont="1" applyFill="1"/>
    <xf numFmtId="2" fontId="2" fillId="0" borderId="0" xfId="2" applyNumberFormat="1" applyFont="1" applyFill="1"/>
  </cellXfs>
  <cellStyles count="4">
    <cellStyle name="Currency" xfId="3" builtinId="4"/>
    <cellStyle name="Normal" xfId="0" builtinId="0"/>
    <cellStyle name="Normal 2" xfId="1" xr:uid="{6CB0E59A-849F-4616-B4C7-35C17DA85629}"/>
    <cellStyle name="Percent" xfId="2" builtinId="5"/>
  </cellStyles>
  <dxfs count="26"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ill>
        <patternFill>
          <bgColor theme="0" tint="-0.14996795556505021"/>
        </patternFill>
      </fill>
    </dxf>
    <dxf>
      <font>
        <b/>
        <strike val="0"/>
        <outline val="0"/>
        <shadow val="0"/>
        <u val="none"/>
        <vertAlign val="baseline"/>
        <sz val="16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fill>
        <patternFill>
          <bgColor theme="0" tint="-0.14996795556505021"/>
        </patternFill>
      </fill>
    </dxf>
    <dxf>
      <numFmt numFmtId="0" formatCode="General"/>
    </dxf>
    <dxf>
      <numFmt numFmtId="164" formatCode="&quot;$&quot;#,##0.00"/>
    </dxf>
    <dxf>
      <numFmt numFmtId="14" formatCode="0.00%"/>
    </dxf>
    <dxf>
      <alignment horizontal="general" vertical="bottom" textRotation="0" wrapText="1" indent="0" justifyLastLine="0" shrinkToFit="0" readingOrder="0"/>
    </dxf>
    <dxf>
      <numFmt numFmtId="14" formatCode="0.00%"/>
    </dxf>
    <dxf>
      <numFmt numFmtId="164" formatCode="&quot;$&quot;#,##0.00"/>
    </dxf>
    <dxf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&quot;$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numFmt numFmtId="14" formatCode="0.00%"/>
    </dxf>
    <dxf>
      <numFmt numFmtId="14" formatCode="0.00%"/>
    </dxf>
    <dxf>
      <numFmt numFmtId="164" formatCode="&quot;$&quot;#,##0.00"/>
    </dxf>
    <dxf>
      <numFmt numFmtId="164" formatCode="&quot;$&quot;#,##0.00"/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justify" vertical="bottom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8283</xdr:colOff>
      <xdr:row>0</xdr:row>
      <xdr:rowOff>480391</xdr:rowOff>
    </xdr:from>
    <xdr:to>
      <xdr:col>8</xdr:col>
      <xdr:colOff>1076737</xdr:colOff>
      <xdr:row>3</xdr:row>
      <xdr:rowOff>240194</xdr:rowOff>
    </xdr:to>
    <xdr:sp macro="[0]!CommandButton1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359348" y="480391"/>
          <a:ext cx="1068454" cy="778564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400">
              <a:solidFill>
                <a:schemeClr val="bg1"/>
              </a:solidFill>
            </a:rPr>
            <a:t>Input Principal</a:t>
          </a:r>
        </a:p>
      </xdr:txBody>
    </xdr:sp>
    <xdr:clientData/>
  </xdr:twoCellAnchor>
  <xdr:twoCellAnchor>
    <xdr:from>
      <xdr:col>0</xdr:col>
      <xdr:colOff>339586</xdr:colOff>
      <xdr:row>13</xdr:row>
      <xdr:rowOff>16565</xdr:rowOff>
    </xdr:from>
    <xdr:to>
      <xdr:col>0</xdr:col>
      <xdr:colOff>2319130</xdr:colOff>
      <xdr:row>14</xdr:row>
      <xdr:rowOff>33130</xdr:rowOff>
    </xdr:to>
    <xdr:sp macro="[0]!Input_SquirrelSave_p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25F382-32EC-4CDB-B917-A995FEC7C726}"/>
            </a:ext>
          </a:extLst>
        </xdr:cNvPr>
        <xdr:cNvSpPr/>
      </xdr:nvSpPr>
      <xdr:spPr>
        <a:xfrm>
          <a:off x="339586" y="3602935"/>
          <a:ext cx="1979544" cy="265043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Input p.a return (SquirrelSave)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wner\OneDrive\Documents\Proj\excel\RSP\RSP%20Fe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BS"/>
      <sheetName val="Lookup"/>
      <sheetName val="RSP Fees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E6207768-7F0A-4AB5-87C2-DD1FB6A53D5F}" autoFormatId="16" applyNumberFormats="0" applyBorderFormats="0" applyFontFormats="0" applyPatternFormats="0" applyAlignmentFormats="0" applyWidthHeightFormats="0">
  <queryTableRefresh nextId="4">
    <queryTableFields count="2">
      <queryTableField id="1" name="Singapore Dollar" tableColumnId="1"/>
      <queryTableField id="3" name="inv. 1.00 SGD" tableColumnId="3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H13" totalsRowShown="0" headerRowDxfId="25" dataDxfId="24">
  <autoFilter ref="A1:H13" xr:uid="{00000000-0009-0000-0100-000002000000}"/>
  <sortState xmlns:xlrd2="http://schemas.microsoft.com/office/spreadsheetml/2017/richdata2" ref="A2:H13">
    <sortCondition ref="H2"/>
  </sortState>
  <tableColumns count="8">
    <tableColumn id="2" xr3:uid="{00000000-0010-0000-0000-000002000000}" name="Robo - Advisor" dataDxfId="23"/>
    <tableColumn id="1" xr3:uid="{00000000-0010-0000-0000-000001000000}" name="Principal" dataDxfId="22" dataCellStyle="Currency"/>
    <tableColumn id="3" xr3:uid="{00000000-0010-0000-0000-000003000000}" name="Min. Investment" dataDxfId="21" dataCellStyle="Currency">
      <calculatedColumnFormula>VLOOKUP(Table2[[#This Row],[Robo - Advisor]],tbl_minamt[],2,FALSE)</calculatedColumnFormula>
    </tableColumn>
    <tableColumn id="7" xr3:uid="{00000000-0010-0000-0000-000007000000}" name="Able to Invest" dataDxfId="1">
      <calculatedColumnFormula>Table2[[#This Row],[Principal]]&gt;=Table2[[#This Row],[Min. Investment]]</calculatedColumnFormula>
    </tableColumn>
    <tableColumn id="8" xr3:uid="{8FF77C73-B849-4FEA-A74E-BDA4F406ED30}" name="Portfolio Fee (%)" dataDxfId="2">
      <calculatedColumnFormula>VLOOKUP(Table2[[#This Row],[Robo - Advisor]],tbl_PortfolioFees[],2,FALSE)*100</calculatedColumnFormula>
    </tableColumn>
    <tableColumn id="4" xr3:uid="{00000000-0010-0000-0000-000004000000}" name="Portfolio Fee" dataDxfId="0" dataCellStyle="Currency">
      <calculatedColumnFormula>IF(NOT(Table2[[#This Row],[Able to Invest]]),"-",Table2[[#This Row],[Principal]]*VLOOKUP(Table2[[#This Row],[Robo - Advisor]],tbl_PortfolioFees[],2,FALSE))</calculatedColumnFormula>
    </tableColumn>
    <tableColumn id="5" xr3:uid="{00000000-0010-0000-0000-000005000000}" name="Platform Fee" dataDxfId="5" dataCellStyle="Currency">
      <calculatedColumnFormula>IF(B2&lt;C2,"-",VLOOKUP(Table2[[#This Row],[Robo - Advisor]],tbl_PlatformFees[],2,FALSE))</calculatedColumnFormula>
    </tableColumn>
    <tableColumn id="6" xr3:uid="{00000000-0010-0000-0000-000006000000}" name="Total Fees" dataDxfId="4" dataCellStyle="Currency">
      <calculatedColumnFormula>IF(Table2[[#This Row],[Able to Invest]],IFERROR(F2+G2,0),"Cannot Invest")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E50357-42E4-472F-8C28-5E1F7AF8197B}" name="tbl_minamt" displayName="tbl_minamt" ref="A1:B16" totalsRowShown="0">
  <autoFilter ref="A1:B16" xr:uid="{22BD0EB3-2C41-438E-805B-E6BC75BC18CA}"/>
  <tableColumns count="2">
    <tableColumn id="1" xr3:uid="{25465460-710F-4CBB-95D6-9C8964A3D9F3}" name="Platform"/>
    <tableColumn id="2" xr3:uid="{691431E5-A183-4B20-B49D-5D774D927E74}" name="Minimum Amt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8FE723C-BDC6-4B5A-9F14-D04D2A3F0A62}" name="tbl_Syfe" displayName="tbl_Syfe" ref="A19:B22" totalsRowShown="0">
  <autoFilter ref="A19:B22" xr:uid="{5C658E1C-578B-47BA-9768-FACF27F65590}"/>
  <tableColumns count="2">
    <tableColumn id="1" xr3:uid="{5C032C78-0D71-4FE8-B6A5-3CE2072506C4}" name="Amt"/>
    <tableColumn id="2" xr3:uid="{F1CC0584-2971-4DB2-B66B-3A7643518340}" name="Account 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l_Stashaway" displayName="tbl_Stashaway" ref="A19:B26" totalsRowShown="0">
  <autoFilter ref="A19:B26" xr:uid="{00000000-0009-0000-0100-000001000000}"/>
  <tableColumns count="2">
    <tableColumn id="1" xr3:uid="{00000000-0010-0000-0100-000001000000}" name="Amount" dataDxfId="19"/>
    <tableColumn id="2" xr3:uid="{00000000-0010-0000-0100-000002000000}" name="Fees" dataDxfId="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PortfolioFees" displayName="tbl_PortfolioFees" ref="A1:B16" totalsRowShown="0">
  <autoFilter ref="A1:B16" xr:uid="{00000000-0009-0000-0100-000003000000}"/>
  <tableColumns count="2">
    <tableColumn id="1" xr3:uid="{00000000-0010-0000-0200-000001000000}" name="Platform"/>
    <tableColumn id="2" xr3:uid="{00000000-0010-0000-0200-000002000000}" name="Fees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bl_Endowus" displayName="tbl_Endowus" ref="A28:B33" totalsRowShown="0" tableBorderDxfId="16">
  <autoFilter ref="A28:B33" xr:uid="{00000000-0009-0000-0100-000005000000}"/>
  <tableColumns count="2">
    <tableColumn id="1" xr3:uid="{00000000-0010-0000-0300-000001000000}" name="Amount" dataDxfId="15"/>
    <tableColumn id="2" xr3:uid="{00000000-0010-0000-0300-000002000000}" name="Fees" dataDxfId="1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5CC9264-470A-4BD5-98CC-FD92143DCF46}" name="tbl_kristalai" displayName="tbl_kristalai" ref="A35:B37" totalsRowShown="0">
  <autoFilter ref="A35:B37" xr:uid="{57503C41-7C6B-4D41-BB62-2ADAD75A5FC0}"/>
  <tableColumns count="2">
    <tableColumn id="1" xr3:uid="{AE203000-AD75-4F65-AE29-B9D893CB6A52}" name="Amount" dataDxfId="13"/>
    <tableColumn id="2" xr3:uid="{9A6B130B-B137-46CD-98A2-857584000B2A}" name="Fe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9133E8A-1CC4-4B9C-9E49-C8C8D7E02956}" name="tbl_utraderobo" displayName="tbl_utraderobo" ref="A39:B42" totalsRowShown="0">
  <autoFilter ref="A39:B42" xr:uid="{41E07732-8DD4-4AFE-A5B1-ABE471BC8F1A}"/>
  <tableColumns count="2">
    <tableColumn id="1" xr3:uid="{DED371F3-0212-46EE-8AD0-B14B3CEFA302}" name="Amount" dataDxfId="12"/>
    <tableColumn id="2" xr3:uid="{A3E073B4-29CB-45ED-A4B6-68133A0001F1}" name="Fees" dataDxf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039BBB3-9B3E-47E6-873E-BB8306BC39C7}" name="tbl_SquirrelSave" displayName="tbl_SquirrelSave" ref="A44:C45" totalsRowShown="0" headerRowDxfId="10">
  <autoFilter ref="A44:C45" xr:uid="{298395B1-0184-47EB-84FB-A8CD3CE7AC0F}"/>
  <tableColumns count="3">
    <tableColumn id="1" xr3:uid="{EA123650-1369-415B-BBFA-A631FA477C78}" name="SquirrelSave p.a return" dataDxfId="9" dataCellStyle="Percent"/>
    <tableColumn id="2" xr3:uid="{A68F44D8-F0D4-4C95-BE0E-1EFBD8943ED3}" name="SquirrelSave return">
      <calculatedColumnFormula>VLOOKUP(PortfolioFees!A15,Table2[],2,FALSE)*tbl_SquirrelSave[[#This Row],[SquirrelSave p.a return]]</calculatedColumnFormula>
    </tableColumn>
    <tableColumn id="3" xr3:uid="{95F6AA51-9F58-492A-9810-0EF8FC0E44B2}" name="SquirrelSave Performance Fee">
      <calculatedColumnFormula>10%*tbl_SquirrelSave[[#This Row],[SquirrelSave return]]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latformFees" displayName="tbl_PlatformFees" ref="A1:B16" totalsRowShown="0">
  <autoFilter ref="A1:B16" xr:uid="{00000000-0009-0000-0100-000004000000}"/>
  <tableColumns count="2">
    <tableColumn id="1" xr3:uid="{00000000-0010-0000-0400-000001000000}" name="Platform"/>
    <tableColumn id="2" xr3:uid="{00000000-0010-0000-0400-000002000000}" name="Fees" dataDxfId="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60E531-A0E5-4391-A733-4A1FC29CB325}" name="Singapore_Dollar_Exchange_Rates_Table_Converter" displayName="Singapore_Dollar_Exchange_Rates_Table_Converter" ref="A1:B2" tableType="queryTable" totalsRowShown="0">
  <autoFilter ref="A1:B2" xr:uid="{A3487633-FE17-43B2-A984-F29CAA6D253D}"/>
  <tableColumns count="2">
    <tableColumn id="1" xr3:uid="{8562625C-43D6-43F3-BCED-466BC9D5B71B}" uniqueName="1" name="Singapore Dollar" queryTableFieldId="1" dataDxfId="7" dataCellStyle="Normal 2"/>
    <tableColumn id="3" xr3:uid="{937DA076-EE79-4900-9FE8-B5EDF078C5C0}" uniqueName="3" name="inv. 1.00 SGD" queryTableFieldId="3" dataCellStyle="Normal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tabSelected="1" zoomScale="115" zoomScaleNormal="115" workbookViewId="0">
      <pane xSplit="3" topLeftCell="D1" activePane="topRight" state="frozen"/>
      <selection pane="topRight" activeCell="B10" sqref="B10"/>
    </sheetView>
  </sheetViews>
  <sheetFormatPr defaultRowHeight="19.5" x14ac:dyDescent="0.25"/>
  <cols>
    <col min="1" max="1" width="35.140625" style="11" bestFit="1" customWidth="1"/>
    <col min="2" max="2" width="21.42578125" style="11" bestFit="1" customWidth="1"/>
    <col min="3" max="3" width="21.140625" customWidth="1"/>
    <col min="4" max="4" width="12.140625" style="11" hidden="1" customWidth="1"/>
    <col min="5" max="5" width="14.5703125" style="11" customWidth="1"/>
    <col min="6" max="6" width="13.28515625" style="11" bestFit="1" customWidth="1"/>
    <col min="7" max="7" width="15.28515625" style="11" customWidth="1"/>
    <col min="8" max="8" width="23.140625" style="11" bestFit="1" customWidth="1"/>
    <col min="9" max="9" width="18.140625" style="11" bestFit="1" customWidth="1"/>
    <col min="10" max="16384" width="9.140625" style="11"/>
  </cols>
  <sheetData>
    <row r="1" spans="1:8" ht="40.5" x14ac:dyDescent="0.3">
      <c r="A1" s="15" t="s">
        <v>23</v>
      </c>
      <c r="B1" s="15" t="s">
        <v>0</v>
      </c>
      <c r="C1" s="16" t="s">
        <v>42</v>
      </c>
      <c r="D1" s="15" t="s">
        <v>24</v>
      </c>
      <c r="E1" s="16" t="s">
        <v>20</v>
      </c>
      <c r="F1" s="16" t="s">
        <v>12</v>
      </c>
      <c r="G1" s="16" t="s">
        <v>10</v>
      </c>
      <c r="H1" s="24" t="s">
        <v>11</v>
      </c>
    </row>
    <row r="2" spans="1:8" ht="20.25" x14ac:dyDescent="0.3">
      <c r="A2" s="11" t="str">
        <f>IF(Table2[[#This Row],[Principal]]&gt;50000, "Kristal.AI (Accredited)","Kristal.AI")</f>
        <v>Kristal.AI</v>
      </c>
      <c r="B2" s="26">
        <v>2000</v>
      </c>
      <c r="C2" s="25">
        <f>VLOOKUP(Table2[[#This Row],[Robo - Advisor]],tbl_minamt[],2,FALSE)</f>
        <v>60</v>
      </c>
      <c r="D2" s="11" t="b">
        <f>Table2[[#This Row],[Principal]]&gt;=Table2[[#This Row],[Min. Investment]]</f>
        <v>1</v>
      </c>
      <c r="E2" s="28">
        <f>VLOOKUP(Table2[[#This Row],[Principal]],tbl_kristalai[],2,TRUE)*100</f>
        <v>0</v>
      </c>
      <c r="F2" s="26">
        <f>IF(NOT(Table2[[#This Row],[Able to Invest]]),"-",Table2[[#This Row],[Principal]]*VLOOKUP(Table2[[#This Row],[Robo - Advisor]],tbl_PortfolioFees[],2,FALSE))</f>
        <v>0</v>
      </c>
      <c r="G2" s="26">
        <f>IF(NOT(Table2[[#This Row],[Able to Invest]]),"-",VLOOKUP(Table2[[#This Row],[Robo - Advisor]],tbl_PlatformFees[],2,FALSE))</f>
        <v>0</v>
      </c>
      <c r="H2" s="27">
        <f>IF(Table2[[#This Row],[Able to Invest]],IFERROR(F2+G2,0),"Cannot Invest")</f>
        <v>0</v>
      </c>
    </row>
    <row r="3" spans="1:8" ht="20.25" x14ac:dyDescent="0.3">
      <c r="A3" s="11" t="str">
        <f>VLOOKUP(Table2[[#This Row],[Principal]],tbl_Syfe[],2,TRUE)</f>
        <v>Syfe (Blue)</v>
      </c>
      <c r="B3" s="25">
        <f>B2</f>
        <v>2000</v>
      </c>
      <c r="C3" s="25">
        <f>VLOOKUP(Table2[[#This Row],[Robo - Advisor]],tbl_minamt[],2,FALSE)</f>
        <v>0</v>
      </c>
      <c r="D3" s="20" t="b">
        <f>Table2[[#This Row],[Principal]]&gt;=Table2[[#This Row],[Min. Investment]]</f>
        <v>1</v>
      </c>
      <c r="E3" s="28">
        <f>VLOOKUP(Table2[[#This Row],[Robo - Advisor]],tbl_PortfolioFees[],2,FALSE)*100</f>
        <v>0.65</v>
      </c>
      <c r="F3" s="26">
        <f>IF(NOT(Table2[[#This Row],[Able to Invest]]),"-",Table2[[#This Row],[Principal]]*VLOOKUP(Table2[[#This Row],[Robo - Advisor]],tbl_PortfolioFees[],2,FALSE))</f>
        <v>13</v>
      </c>
      <c r="G3" s="26">
        <f>IF(B3&lt;C3,"-",VLOOKUP(Table2[[#This Row],[Robo - Advisor]],tbl_PlatformFees[],2,FALSE))</f>
        <v>0</v>
      </c>
      <c r="H3" s="27">
        <f>IF(Table2[[#This Row],[Able to Invest]],IFERROR(F3+G3,0),"Cannot Invest")</f>
        <v>13</v>
      </c>
    </row>
    <row r="4" spans="1:8" ht="20.25" x14ac:dyDescent="0.3">
      <c r="A4" s="11" t="s">
        <v>21</v>
      </c>
      <c r="B4" s="25">
        <f>B3</f>
        <v>2000</v>
      </c>
      <c r="C4" s="25">
        <f>VLOOKUP(Table2[[#This Row],[Robo - Advisor]],tbl_minamt[],2,FALSE)</f>
        <v>1000</v>
      </c>
      <c r="D4" s="11" t="b">
        <f>Table2[[#This Row],[Principal]]&gt;=Table2[[#This Row],[Min. Investment]]</f>
        <v>1</v>
      </c>
      <c r="E4" s="28">
        <f>VLOOKUP(Table2[[#This Row],[Robo - Advisor]],tbl_PortfolioFees[],2,FALSE)*100</f>
        <v>0.75</v>
      </c>
      <c r="F4" s="26">
        <f>IF(NOT(Table2[[#This Row],[Able to Invest]]),"-",Table2[[#This Row],[Principal]]*VLOOKUP(Table2[[#This Row],[Robo - Advisor]],tbl_PortfolioFees[],2,FALSE))</f>
        <v>15</v>
      </c>
      <c r="G4" s="26">
        <f>IF(B4&lt;C4,"-",VLOOKUP(Table2[[#This Row],[Robo - Advisor]],tbl_PlatformFees[],2,FALSE))</f>
        <v>0</v>
      </c>
      <c r="H4" s="27">
        <f>IF(Table2[[#This Row],[Able to Invest]],IFERROR(F4+G4,0),"Cannot Invest")</f>
        <v>15</v>
      </c>
    </row>
    <row r="5" spans="1:8" ht="20.25" x14ac:dyDescent="0.3">
      <c r="A5" s="11" t="s">
        <v>3</v>
      </c>
      <c r="B5" s="25">
        <f>B4</f>
        <v>2000</v>
      </c>
      <c r="C5" s="25">
        <f>VLOOKUP(Table2[[#This Row],[Robo - Advisor]],tbl_minamt[],2,FALSE)</f>
        <v>50</v>
      </c>
      <c r="D5" s="11" t="b">
        <f>Table2[[#This Row],[Principal]]&gt;=Table2[[#This Row],[Min. Investment]]</f>
        <v>1</v>
      </c>
      <c r="E5" s="28">
        <f>VLOOKUP(Table2[[#This Row],[Principal]],tbl_Stashaway[],2,TRUE)*100</f>
        <v>0.8</v>
      </c>
      <c r="F5" s="26">
        <f>IF(NOT(Table2[[#This Row],[Able to Invest]]),"-",Table2[[#This Row],[Principal]]*VLOOKUP(Table2[[#This Row],[Principal]],tbl_Stashaway[],2,TRUE))</f>
        <v>16</v>
      </c>
      <c r="G5" s="26">
        <f>IF(B5&lt;C5,"-",VLOOKUP(Table2[[#This Row],[Robo - Advisor]],tbl_PlatformFees[],2,FALSE))</f>
        <v>0</v>
      </c>
      <c r="H5" s="27">
        <f>IF(Table2[[#This Row],[Able to Invest]],IFERROR(F5+G5,0),"Cannot Invest")</f>
        <v>16</v>
      </c>
    </row>
    <row r="6" spans="1:8" ht="20.25" x14ac:dyDescent="0.3">
      <c r="A6" s="11" t="s">
        <v>6</v>
      </c>
      <c r="B6" s="25">
        <f>B5</f>
        <v>2000</v>
      </c>
      <c r="C6" s="25">
        <f>VLOOKUP(Table2[[#This Row],[Robo - Advisor]],tbl_minamt[],2,FALSE)</f>
        <v>100</v>
      </c>
      <c r="D6" s="11" t="b">
        <f>Table2[[#This Row],[Principal]]&gt;=Table2[[#This Row],[Min. Investment]]</f>
        <v>1</v>
      </c>
      <c r="E6" s="28">
        <f>VLOOKUP(Table2[[#This Row],[Robo - Advisor]],tbl_PortfolioFees[],2,FALSE)*100</f>
        <v>0.65</v>
      </c>
      <c r="F6" s="26">
        <f>IF(NOT(Table2[[#This Row],[Able to Invest]]),"-",Table2[[#This Row],[Principal]]*VLOOKUP(Table2[[#This Row],[Robo - Advisor]],tbl_PortfolioFees[],2,FALSE))</f>
        <v>13</v>
      </c>
      <c r="G6" s="26">
        <f>IF(B6&lt;C6,"-",Table2[[#This Row],[Principal]]*VLOOKUP(Table2[[#This Row],[Robo - Advisor]],tbl_PlatformFees[],2,FALSE))</f>
        <v>3.6</v>
      </c>
      <c r="H6" s="27">
        <f>IF(Table2[[#This Row],[Able to Invest]],IFERROR(F6+G6,0),"Cannot Invest")</f>
        <v>16.600000000000001</v>
      </c>
    </row>
    <row r="7" spans="1:8" ht="20.25" x14ac:dyDescent="0.3">
      <c r="A7" s="11" t="s">
        <v>29</v>
      </c>
      <c r="B7" s="25">
        <f>B6</f>
        <v>2000</v>
      </c>
      <c r="C7" s="25">
        <f>VLOOKUP(Table2[[#This Row],[Robo - Advisor]],tbl_minamt[],2,FALSE)</f>
        <v>0</v>
      </c>
      <c r="D7" s="20" t="b">
        <f>Table2[[#This Row],[Principal]]&gt;=Table2[[#This Row],[Min. Investment]]</f>
        <v>1</v>
      </c>
      <c r="E7" s="28">
        <f>VLOOKUP(Table2[[#This Row],[Robo - Advisor]],tbl_PortfolioFees[],2,FALSE)*100</f>
        <v>0.5</v>
      </c>
      <c r="F7" s="26">
        <f>IF(NOT(Table2[[#This Row],[Able to Invest]]),"-",Table2[[#This Row],[Principal]]*VLOOKUP(Table2[[#This Row],[Robo - Advisor]],tbl_PortfolioFees[],2,FALSE))</f>
        <v>10</v>
      </c>
      <c r="G7" s="26">
        <f>IF(B7&lt;C7,"-",VLOOKUP(Table2[[#This Row],[Robo - Advisor]],tbl_PlatformFees[],2,FALSE))</f>
        <v>7</v>
      </c>
      <c r="H7" s="27">
        <f>IF(Table2[[#This Row],[Able to Invest]],IFERROR(F7+G7,0),"Cannot Invest")</f>
        <v>17</v>
      </c>
    </row>
    <row r="8" spans="1:8" ht="20.25" x14ac:dyDescent="0.3">
      <c r="A8" s="11" t="s">
        <v>4</v>
      </c>
      <c r="B8" s="25">
        <f>B7</f>
        <v>2000</v>
      </c>
      <c r="C8" s="25">
        <f>VLOOKUP(Table2[[#This Row],[Robo - Advisor]],tbl_minamt[],2,FALSE)</f>
        <v>50</v>
      </c>
      <c r="D8" s="11" t="b">
        <f>Table2[[#This Row],[Principal]]&gt;=Table2[[#This Row],[Min. Investment]]</f>
        <v>1</v>
      </c>
      <c r="E8" s="28">
        <f>VLOOKUP(Table2[[#This Row],[Robo - Advisor]],tbl_PortfolioFees[],2,FALSE)*100</f>
        <v>1</v>
      </c>
      <c r="F8" s="26">
        <f>IF(NOT(Table2[[#This Row],[Able to Invest]]),"-",Table2[[#This Row],[Principal]]*VLOOKUP(Table2[[#This Row],[Robo - Advisor]],tbl_PortfolioFees[],2,FALSE))</f>
        <v>20</v>
      </c>
      <c r="G8" s="26">
        <f>IF(B8&lt;C8,"-",VLOOKUP(Table2[[#This Row],[Robo - Advisor]],tbl_PlatformFees[],2,FALSE))</f>
        <v>0</v>
      </c>
      <c r="H8" s="27">
        <f>IF(Table2[[#This Row],[Able to Invest]],IFERROR(F8+G8,0),"Cannot Invest")</f>
        <v>20</v>
      </c>
    </row>
    <row r="9" spans="1:8" ht="20.25" x14ac:dyDescent="0.3">
      <c r="A9" s="11" t="s">
        <v>41</v>
      </c>
      <c r="B9" s="25">
        <f>B8</f>
        <v>2000</v>
      </c>
      <c r="C9" s="25">
        <f>VLOOKUP(Table2[[#This Row],[Robo - Advisor]],tbl_minamt[],2,FALSE)</f>
        <v>5000</v>
      </c>
      <c r="D9" s="20" t="b">
        <f>Table2[[#This Row],[Principal]]&gt;=Table2[[#This Row],[Min. Investment]]</f>
        <v>0</v>
      </c>
      <c r="E9" s="28">
        <f>VLOOKUP(Table2[[#This Row],[Robo - Advisor]],tbl_PortfolioFees[],2,FALSE)*100</f>
        <v>0.5</v>
      </c>
      <c r="F9" s="26" t="str">
        <f>IF(NOT(Table2[[#This Row],[Able to Invest]]),"-",Table2[[#This Row],[Principal]]*VLOOKUP(Table2[[#This Row],[Robo - Advisor]],tbl_PortfolioFees[],2,FALSE))</f>
        <v>-</v>
      </c>
      <c r="G9" s="26" t="str">
        <f>IF(B9&lt;C9,"-",VLOOKUP(Table2[[#This Row],[Robo - Advisor]],tbl_PlatformFees[],2,FALSE))</f>
        <v>-</v>
      </c>
      <c r="H9" s="27" t="str">
        <f>IF(Table2[[#This Row],[Able to Invest]],IFERROR(F9+G9,0),"Cannot Invest")</f>
        <v>Cannot Invest</v>
      </c>
    </row>
    <row r="10" spans="1:8" ht="20.25" x14ac:dyDescent="0.3">
      <c r="A10" s="11" t="s">
        <v>16</v>
      </c>
      <c r="B10" s="25">
        <f>B9</f>
        <v>2000</v>
      </c>
      <c r="C10" s="25">
        <f>VLOOKUP(Table2[[#This Row],[Robo - Advisor]],tbl_minamt[],2,FALSE)</f>
        <v>3000</v>
      </c>
      <c r="D10" s="11" t="b">
        <f>Table2[[#This Row],[Principal]]&gt;=Table2[[#This Row],[Min. Investment]]</f>
        <v>0</v>
      </c>
      <c r="E10" s="28">
        <f>VLOOKUP(Table2[[#This Row],[Robo - Advisor]],tbl_PortfolioFees[],2,FALSE)*100</f>
        <v>0.6</v>
      </c>
      <c r="F10" s="26" t="str">
        <f>IF(NOT(Table2[[#This Row],[Able to Invest]]),"-",Table2[[#This Row],[Principal]]*VLOOKUP(Table2[[#This Row],[Robo - Advisor]],tbl_PortfolioFees[],2,FALSE))</f>
        <v>-</v>
      </c>
      <c r="G10" s="26" t="str">
        <f>IF(B10&lt;C10,"-",VLOOKUP(Table2[[#This Row],[Robo - Advisor]],tbl_PlatformFees[],2,FALSE))</f>
        <v>-</v>
      </c>
      <c r="H10" s="27" t="str">
        <f>IF(Table2[[#This Row],[Able to Invest]],IFERROR(F10+G10,0),"Cannot Invest")</f>
        <v>Cannot Invest</v>
      </c>
    </row>
    <row r="11" spans="1:8" ht="20.25" x14ac:dyDescent="0.3">
      <c r="A11" s="11" t="s">
        <v>2</v>
      </c>
      <c r="B11" s="25">
        <f>B10</f>
        <v>2000</v>
      </c>
      <c r="C11" s="25">
        <f>VLOOKUP(Table2[[#This Row],[Robo - Advisor]],tbl_minamt[],2,FALSE)</f>
        <v>3000</v>
      </c>
      <c r="D11" s="11" t="b">
        <f>Table2[[#This Row],[Principal]]&gt;=Table2[[#This Row],[Min. Investment]]</f>
        <v>0</v>
      </c>
      <c r="E11" s="28">
        <f>VLOOKUP(Table2[[#This Row],[Robo - Advisor]],tbl_PortfolioFees[],2,FALSE)*100</f>
        <v>0.5</v>
      </c>
      <c r="F11" s="26" t="str">
        <f>IF(NOT(Table2[[#This Row],[Able to Invest]]),"-",Table2[[#This Row],[Principal]]*VLOOKUP(Table2[[#This Row],[Robo - Advisor]],tbl_PortfolioFees[],2,FALSE))</f>
        <v>-</v>
      </c>
      <c r="G11" s="26" t="str">
        <f>IF(B11&lt;C11,"-",VLOOKUP(Table2[[#This Row],[Robo - Advisor]],tbl_PlatformFees[],2,FALSE))</f>
        <v>-</v>
      </c>
      <c r="H11" s="27" t="str">
        <f>IF(Table2[[#This Row],[Able to Invest]],IFERROR(F11+G11,0),"Cannot Invest")</f>
        <v>Cannot Invest</v>
      </c>
    </row>
    <row r="12" spans="1:8" ht="20.25" x14ac:dyDescent="0.3">
      <c r="A12" s="11" t="s">
        <v>8</v>
      </c>
      <c r="B12" s="25">
        <f>B11</f>
        <v>2000</v>
      </c>
      <c r="C12" s="25">
        <f>VLOOKUP(Table2[[#This Row],[Robo - Advisor]],tbl_minamt[],2,FALSE)</f>
        <v>5000</v>
      </c>
      <c r="D12" s="11" t="b">
        <f>Table2[[#This Row],[Principal]]&gt;=Table2[[#This Row],[Min. Investment]]</f>
        <v>0</v>
      </c>
      <c r="E12" s="28">
        <f>VLOOKUP(Table2[[#This Row],[Principal]],tbl_utraderobo[],2,TRUE)*100</f>
        <v>0.88</v>
      </c>
      <c r="F12" s="26" t="str">
        <f>IF(NOT(Table2[[#This Row],[Able to Invest]]),"-",Table2[[#This Row],[Principal]]*VLOOKUP(Table2[[#This Row],[Principal]],tbl_utraderobo[],2,TRUE))</f>
        <v>-</v>
      </c>
      <c r="G12" s="26" t="str">
        <f>IF(B12&lt;C12,"-",VLOOKUP(Table2[[#This Row],[Robo - Advisor]],tbl_PlatformFees[],2,FALSE))</f>
        <v>-</v>
      </c>
      <c r="H12" s="27" t="str">
        <f>IF(Table2[[#This Row],[Able to Invest]],IFERROR(F12+G12,0),"Cannot Invest")</f>
        <v>Cannot Invest</v>
      </c>
    </row>
    <row r="13" spans="1:8" ht="20.25" x14ac:dyDescent="0.3">
      <c r="A13" s="11" t="s">
        <v>9</v>
      </c>
      <c r="B13" s="25">
        <f>B12</f>
        <v>2000</v>
      </c>
      <c r="C13" s="25">
        <f>VLOOKUP(Table2[[#This Row],[Robo - Advisor]],tbl_minamt[],2,FALSE)</f>
        <v>3500</v>
      </c>
      <c r="D13" s="11" t="b">
        <f>Table2[[#This Row],[Principal]]&gt;=Table2[[#This Row],[Min. Investment]]</f>
        <v>0</v>
      </c>
      <c r="E13" s="28">
        <f>VLOOKUP(Table2[[#This Row],[Robo - Advisor]],tbl_PortfolioFees[],2,FALSE)*100</f>
        <v>0.88</v>
      </c>
      <c r="F13" s="26" t="str">
        <f>IF(NOT(Table2[[#This Row],[Able to Invest]]),"-",Table2[[#This Row],[Principal]]*VLOOKUP(Table2[[#This Row],[Robo - Advisor]],tbl_PortfolioFees[],2,FALSE))</f>
        <v>-</v>
      </c>
      <c r="G13" s="26" t="str">
        <f>IF(B13&lt;C13,"-",VLOOKUP(Table2[[#This Row],[Robo - Advisor]],tbl_PlatformFees[],2,FALSE))</f>
        <v>-</v>
      </c>
      <c r="H13" s="27" t="str">
        <f>IF(Table2[[#This Row],[Able to Invest]],IFERROR(F13+G13,0),"Cannot Invest")</f>
        <v>Cannot Invest</v>
      </c>
    </row>
  </sheetData>
  <sheetProtection formatColumns="0" formatRows="0" selectLockedCells="1"/>
  <conditionalFormatting sqref="A2:H13">
    <cfRule type="expression" dxfId="3" priority="2">
      <formula>NOT($D2)</formula>
    </cfRule>
  </conditionalFormatting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BF416-A4CD-48BA-8183-21E6D72EFBBC}">
  <sheetPr codeName="Sheet6"/>
  <dimension ref="A2:J5"/>
  <sheetViews>
    <sheetView workbookViewId="0">
      <selection activeCell="D6" sqref="D6"/>
    </sheetView>
  </sheetViews>
  <sheetFormatPr defaultRowHeight="15" x14ac:dyDescent="0.25"/>
  <sheetData>
    <row r="2" spans="1:10" x14ac:dyDescent="0.25">
      <c r="A2" s="19">
        <v>1</v>
      </c>
      <c r="B2" s="22" t="s">
        <v>39</v>
      </c>
      <c r="C2" s="18"/>
      <c r="D2" s="17"/>
      <c r="E2" s="17"/>
      <c r="F2" s="17"/>
      <c r="G2" s="17"/>
      <c r="H2" s="17"/>
      <c r="I2" s="17"/>
      <c r="J2" s="17"/>
    </row>
    <row r="3" spans="1:10" x14ac:dyDescent="0.25">
      <c r="A3" s="19">
        <v>2</v>
      </c>
      <c r="B3" s="22" t="s">
        <v>38</v>
      </c>
      <c r="C3" s="18"/>
      <c r="D3" s="17"/>
      <c r="E3" s="17"/>
      <c r="F3" s="17"/>
      <c r="G3" s="17"/>
      <c r="H3" s="17"/>
      <c r="I3" s="17"/>
      <c r="J3" s="17"/>
    </row>
    <row r="4" spans="1:10" x14ac:dyDescent="0.25">
      <c r="A4">
        <v>3</v>
      </c>
      <c r="B4" s="21" t="s">
        <v>40</v>
      </c>
    </row>
    <row r="5" spans="1:10" x14ac:dyDescent="0.25">
      <c r="A5">
        <v>3</v>
      </c>
      <c r="B5" s="22" t="s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6FAE5-2A58-4A85-94C3-09D47FD261F7}">
  <sheetPr codeName="Sheet5"/>
  <dimension ref="A1:B22"/>
  <sheetViews>
    <sheetView workbookViewId="0">
      <selection activeCell="A16" sqref="A16"/>
    </sheetView>
  </sheetViews>
  <sheetFormatPr defaultRowHeight="15" x14ac:dyDescent="0.25"/>
  <cols>
    <col min="1" max="1" width="16.42578125" bestFit="1" customWidth="1"/>
    <col min="2" max="2" width="16.28515625" bestFit="1" customWidth="1"/>
  </cols>
  <sheetData>
    <row r="1" spans="1:2" x14ac:dyDescent="0.25">
      <c r="A1" t="s">
        <v>15</v>
      </c>
      <c r="B1" t="s">
        <v>22</v>
      </c>
    </row>
    <row r="2" spans="1:2" x14ac:dyDescent="0.25">
      <c r="A2" t="s">
        <v>2</v>
      </c>
      <c r="B2" s="4">
        <v>3000</v>
      </c>
    </row>
    <row r="3" spans="1:2" x14ac:dyDescent="0.25">
      <c r="A3" t="s">
        <v>16</v>
      </c>
      <c r="B3" s="4">
        <v>3000</v>
      </c>
    </row>
    <row r="4" spans="1:2" x14ac:dyDescent="0.25">
      <c r="A4" t="s">
        <v>7</v>
      </c>
      <c r="B4" s="4">
        <v>60</v>
      </c>
    </row>
    <row r="5" spans="1:2" x14ac:dyDescent="0.25">
      <c r="A5" t="s">
        <v>6</v>
      </c>
      <c r="B5" s="4">
        <v>100</v>
      </c>
    </row>
    <row r="6" spans="1:2" x14ac:dyDescent="0.25">
      <c r="A6" t="s">
        <v>9</v>
      </c>
      <c r="B6" s="13">
        <v>3500</v>
      </c>
    </row>
    <row r="7" spans="1:2" x14ac:dyDescent="0.25">
      <c r="A7" t="s">
        <v>4</v>
      </c>
      <c r="B7" s="4">
        <v>50</v>
      </c>
    </row>
    <row r="8" spans="1:2" x14ac:dyDescent="0.25">
      <c r="A8" t="s">
        <v>3</v>
      </c>
      <c r="B8" s="4">
        <v>50</v>
      </c>
    </row>
    <row r="9" spans="1:2" x14ac:dyDescent="0.25">
      <c r="A9" t="s">
        <v>8</v>
      </c>
      <c r="B9" s="13">
        <v>5000</v>
      </c>
    </row>
    <row r="10" spans="1:2" x14ac:dyDescent="0.25">
      <c r="A10" t="s">
        <v>21</v>
      </c>
      <c r="B10" s="4">
        <v>1000</v>
      </c>
    </row>
    <row r="11" spans="1:2" x14ac:dyDescent="0.25">
      <c r="A11" t="s">
        <v>28</v>
      </c>
      <c r="B11" s="4">
        <v>0</v>
      </c>
    </row>
    <row r="12" spans="1:2" x14ac:dyDescent="0.25">
      <c r="A12" t="s">
        <v>30</v>
      </c>
      <c r="B12" s="4">
        <v>50000</v>
      </c>
    </row>
    <row r="13" spans="1:2" x14ac:dyDescent="0.25">
      <c r="A13" t="s">
        <v>26</v>
      </c>
      <c r="B13" s="4">
        <v>20000</v>
      </c>
    </row>
    <row r="14" spans="1:2" x14ac:dyDescent="0.25">
      <c r="A14" t="s">
        <v>27</v>
      </c>
      <c r="B14" s="4">
        <v>100000</v>
      </c>
    </row>
    <row r="15" spans="1:2" x14ac:dyDescent="0.25">
      <c r="A15" t="s">
        <v>29</v>
      </c>
      <c r="B15" s="4">
        <v>0</v>
      </c>
    </row>
    <row r="16" spans="1:2" x14ac:dyDescent="0.25">
      <c r="A16" t="s">
        <v>41</v>
      </c>
      <c r="B16" s="4">
        <v>5000</v>
      </c>
    </row>
    <row r="19" spans="1:2" x14ac:dyDescent="0.25">
      <c r="A19" t="s">
        <v>32</v>
      </c>
      <c r="B19" t="s">
        <v>31</v>
      </c>
    </row>
    <row r="20" spans="1:2" x14ac:dyDescent="0.25">
      <c r="A20" s="4">
        <v>0</v>
      </c>
      <c r="B20" t="s">
        <v>33</v>
      </c>
    </row>
    <row r="21" spans="1:2" x14ac:dyDescent="0.25">
      <c r="A21" s="4">
        <v>20000</v>
      </c>
      <c r="B21" t="s">
        <v>26</v>
      </c>
    </row>
    <row r="22" spans="1:2" x14ac:dyDescent="0.25">
      <c r="A22" s="4">
        <v>100000</v>
      </c>
      <c r="B22" t="s">
        <v>34</v>
      </c>
    </row>
  </sheetData>
  <pageMargins left="0.7" right="0.7" top="0.75" bottom="0.75" header="0.3" footer="0.3"/>
  <pageSetup orientation="portrait" horizontalDpi="300" verticalDpi="300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45"/>
  <sheetViews>
    <sheetView topLeftCell="A25" workbookViewId="0">
      <selection activeCell="B45" sqref="B45"/>
    </sheetView>
  </sheetViews>
  <sheetFormatPr defaultRowHeight="15" x14ac:dyDescent="0.25"/>
  <cols>
    <col min="1" max="1" width="23.42578125" customWidth="1"/>
    <col min="2" max="2" width="20.28515625" customWidth="1"/>
    <col min="3" max="3" width="29.85546875" customWidth="1"/>
  </cols>
  <sheetData>
    <row r="1" spans="1:2" x14ac:dyDescent="0.25">
      <c r="A1" t="s">
        <v>15</v>
      </c>
      <c r="B1" t="s">
        <v>1</v>
      </c>
    </row>
    <row r="2" spans="1:2" x14ac:dyDescent="0.25">
      <c r="A2" t="s">
        <v>2</v>
      </c>
      <c r="B2" s="1">
        <v>5.0000000000000001E-3</v>
      </c>
    </row>
    <row r="3" spans="1:2" x14ac:dyDescent="0.25">
      <c r="A3" t="s">
        <v>16</v>
      </c>
      <c r="B3" s="1">
        <v>6.0000000000000001E-3</v>
      </c>
    </row>
    <row r="4" spans="1:2" x14ac:dyDescent="0.25">
      <c r="A4" t="s">
        <v>7</v>
      </c>
      <c r="B4" s="1">
        <v>0</v>
      </c>
    </row>
    <row r="5" spans="1:2" x14ac:dyDescent="0.25">
      <c r="A5" t="s">
        <v>6</v>
      </c>
      <c r="B5" s="1">
        <v>6.4999999999999997E-3</v>
      </c>
    </row>
    <row r="6" spans="1:2" x14ac:dyDescent="0.25">
      <c r="A6" t="s">
        <v>9</v>
      </c>
      <c r="B6" s="1">
        <v>8.8000000000000005E-3</v>
      </c>
    </row>
    <row r="7" spans="1:2" x14ac:dyDescent="0.25">
      <c r="A7" t="s">
        <v>4</v>
      </c>
      <c r="B7" s="1">
        <v>0.01</v>
      </c>
    </row>
    <row r="8" spans="1:2" x14ac:dyDescent="0.25">
      <c r="A8" t="s">
        <v>3</v>
      </c>
      <c r="B8" s="1" t="s">
        <v>13</v>
      </c>
    </row>
    <row r="9" spans="1:2" x14ac:dyDescent="0.25">
      <c r="A9" t="s">
        <v>8</v>
      </c>
      <c r="B9" s="1" t="s">
        <v>13</v>
      </c>
    </row>
    <row r="10" spans="1:2" x14ac:dyDescent="0.25">
      <c r="A10" t="s">
        <v>21</v>
      </c>
      <c r="B10" s="1">
        <v>7.4999999999999997E-3</v>
      </c>
    </row>
    <row r="11" spans="1:2" x14ac:dyDescent="0.25">
      <c r="A11" t="s">
        <v>28</v>
      </c>
      <c r="B11" s="1">
        <v>6.4999999999999997E-3</v>
      </c>
    </row>
    <row r="12" spans="1:2" x14ac:dyDescent="0.25">
      <c r="A12" t="s">
        <v>30</v>
      </c>
      <c r="B12" s="1">
        <v>3.0000000000000001E-3</v>
      </c>
    </row>
    <row r="13" spans="1:2" x14ac:dyDescent="0.25">
      <c r="A13" t="s">
        <v>26</v>
      </c>
      <c r="B13" s="1">
        <v>5.0000000000000001E-3</v>
      </c>
    </row>
    <row r="14" spans="1:2" x14ac:dyDescent="0.25">
      <c r="A14" t="s">
        <v>27</v>
      </c>
      <c r="B14" s="1">
        <v>4.0000000000000001E-3</v>
      </c>
    </row>
    <row r="15" spans="1:2" x14ac:dyDescent="0.25">
      <c r="A15" t="s">
        <v>29</v>
      </c>
      <c r="B15" s="1">
        <v>5.0000000000000001E-3</v>
      </c>
    </row>
    <row r="16" spans="1:2" x14ac:dyDescent="0.25">
      <c r="A16" t="s">
        <v>41</v>
      </c>
      <c r="B16" s="1">
        <v>5.0000000000000001E-3</v>
      </c>
    </row>
    <row r="17" spans="1:2" x14ac:dyDescent="0.25">
      <c r="B17" s="1"/>
    </row>
    <row r="19" spans="1:2" x14ac:dyDescent="0.25">
      <c r="A19" t="s">
        <v>14</v>
      </c>
      <c r="B19" t="s">
        <v>1</v>
      </c>
    </row>
    <row r="20" spans="1:2" x14ac:dyDescent="0.25">
      <c r="A20" s="4">
        <v>0</v>
      </c>
      <c r="B20" s="1">
        <v>8.0000000000000002E-3</v>
      </c>
    </row>
    <row r="21" spans="1:2" x14ac:dyDescent="0.25">
      <c r="A21" s="4">
        <v>25000</v>
      </c>
      <c r="B21" s="1">
        <v>8.0000000000000002E-3</v>
      </c>
    </row>
    <row r="22" spans="1:2" x14ac:dyDescent="0.25">
      <c r="A22" s="4">
        <v>50000</v>
      </c>
      <c r="B22" s="1">
        <v>7.0000000000000001E-3</v>
      </c>
    </row>
    <row r="23" spans="1:2" x14ac:dyDescent="0.25">
      <c r="A23" s="4">
        <v>10000</v>
      </c>
      <c r="B23" s="1">
        <v>6.0000000000000001E-3</v>
      </c>
    </row>
    <row r="24" spans="1:2" x14ac:dyDescent="0.25">
      <c r="A24" s="4">
        <v>250000</v>
      </c>
      <c r="B24" s="1">
        <v>5.0000000000000001E-3</v>
      </c>
    </row>
    <row r="25" spans="1:2" x14ac:dyDescent="0.25">
      <c r="A25" s="4">
        <v>500000</v>
      </c>
      <c r="B25" s="1">
        <v>4.0000000000000001E-3</v>
      </c>
    </row>
    <row r="26" spans="1:2" x14ac:dyDescent="0.25">
      <c r="A26" s="4">
        <v>1000000</v>
      </c>
      <c r="B26" s="1">
        <v>3.0000000000000001E-3</v>
      </c>
    </row>
    <row r="28" spans="1:2" x14ac:dyDescent="0.25">
      <c r="A28" t="s">
        <v>14</v>
      </c>
      <c r="B28" t="s">
        <v>1</v>
      </c>
    </row>
    <row r="29" spans="1:2" x14ac:dyDescent="0.25">
      <c r="A29" s="5">
        <v>0</v>
      </c>
      <c r="B29" s="2">
        <v>6.0000000000000001E-3</v>
      </c>
    </row>
    <row r="30" spans="1:2" x14ac:dyDescent="0.25">
      <c r="A30" s="6">
        <v>200000</v>
      </c>
      <c r="B30" s="3">
        <v>6.0000000000000001E-3</v>
      </c>
    </row>
    <row r="31" spans="1:2" x14ac:dyDescent="0.25">
      <c r="A31" s="5">
        <v>1000000</v>
      </c>
      <c r="B31" s="2">
        <v>5.0000000000000001E-3</v>
      </c>
    </row>
    <row r="32" spans="1:2" x14ac:dyDescent="0.25">
      <c r="A32" s="6">
        <v>5000000</v>
      </c>
      <c r="B32" s="3">
        <v>3.5000000000000001E-3</v>
      </c>
    </row>
    <row r="33" spans="1:3" x14ac:dyDescent="0.25">
      <c r="A33" s="7">
        <v>1000000000000</v>
      </c>
      <c r="B33" s="8">
        <v>2.5000000000000001E-3</v>
      </c>
    </row>
    <row r="35" spans="1:3" x14ac:dyDescent="0.25">
      <c r="A35" t="s">
        <v>14</v>
      </c>
      <c r="B35" t="s">
        <v>1</v>
      </c>
    </row>
    <row r="36" spans="1:3" x14ac:dyDescent="0.25">
      <c r="A36" s="4">
        <v>0</v>
      </c>
      <c r="B36" s="12">
        <v>0</v>
      </c>
    </row>
    <row r="37" spans="1:3" x14ac:dyDescent="0.25">
      <c r="A37" s="4">
        <v>50000</v>
      </c>
      <c r="B37" s="1">
        <v>3.0000000000000001E-3</v>
      </c>
    </row>
    <row r="39" spans="1:3" x14ac:dyDescent="0.25">
      <c r="A39" t="s">
        <v>14</v>
      </c>
      <c r="B39" t="s">
        <v>1</v>
      </c>
    </row>
    <row r="40" spans="1:3" x14ac:dyDescent="0.25">
      <c r="A40" s="4">
        <v>0</v>
      </c>
      <c r="B40" s="1">
        <v>8.8000000000000005E-3</v>
      </c>
    </row>
    <row r="41" spans="1:3" x14ac:dyDescent="0.25">
      <c r="A41" s="4">
        <v>50000</v>
      </c>
      <c r="B41" s="1">
        <v>6.7999999999999996E-3</v>
      </c>
    </row>
    <row r="42" spans="1:3" x14ac:dyDescent="0.25">
      <c r="A42" s="4">
        <v>100000</v>
      </c>
      <c r="B42" s="1">
        <v>5.0000000000000001E-3</v>
      </c>
    </row>
    <row r="44" spans="1:3" x14ac:dyDescent="0.25">
      <c r="A44" s="23" t="s">
        <v>36</v>
      </c>
      <c r="B44" s="23" t="s">
        <v>37</v>
      </c>
      <c r="C44" s="23" t="s">
        <v>35</v>
      </c>
    </row>
    <row r="45" spans="1:3" x14ac:dyDescent="0.25">
      <c r="A45" s="14">
        <v>3.5000000000000003E-2</v>
      </c>
      <c r="B45" s="4">
        <f>VLOOKUP(PortfolioFees!A15,Table2[],2,FALSE)*tbl_SquirrelSave[[#This Row],[SquirrelSave p.a return]]</f>
        <v>70</v>
      </c>
      <c r="C45" s="4">
        <f>10%*tbl_SquirrelSave[[#This Row],[SquirrelSave return]]</f>
        <v>7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6"/>
  <sheetViews>
    <sheetView workbookViewId="0">
      <selection activeCell="B15" sqref="B15"/>
    </sheetView>
  </sheetViews>
  <sheetFormatPr defaultRowHeight="15" x14ac:dyDescent="0.25"/>
  <cols>
    <col min="1" max="1" width="16.42578125" bestFit="1" customWidth="1"/>
  </cols>
  <sheetData>
    <row r="1" spans="1:2" x14ac:dyDescent="0.25">
      <c r="A1" t="s">
        <v>15</v>
      </c>
      <c r="B1" t="s">
        <v>1</v>
      </c>
    </row>
    <row r="2" spans="1:2" x14ac:dyDescent="0.25">
      <c r="A2" t="s">
        <v>2</v>
      </c>
      <c r="B2" s="4">
        <f>18*Singapore_Dollar_Exchange_Rates_Table_Converter[inv. 1.00 SGD]</f>
        <v>24.516072000000001</v>
      </c>
    </row>
    <row r="3" spans="1:2" x14ac:dyDescent="0.25">
      <c r="A3" t="s">
        <v>5</v>
      </c>
      <c r="B3" s="4">
        <v>0</v>
      </c>
    </row>
    <row r="4" spans="1:2" x14ac:dyDescent="0.25">
      <c r="A4" t="s">
        <v>7</v>
      </c>
      <c r="B4" s="4">
        <v>0</v>
      </c>
    </row>
    <row r="5" spans="1:2" x14ac:dyDescent="0.25">
      <c r="A5" t="s">
        <v>6</v>
      </c>
      <c r="B5" s="14">
        <v>1.8E-3</v>
      </c>
    </row>
    <row r="6" spans="1:2" x14ac:dyDescent="0.25">
      <c r="A6" t="s">
        <v>9</v>
      </c>
      <c r="B6" s="4">
        <v>0</v>
      </c>
    </row>
    <row r="7" spans="1:2" x14ac:dyDescent="0.25">
      <c r="A7" t="s">
        <v>4</v>
      </c>
      <c r="B7" s="4">
        <v>0</v>
      </c>
    </row>
    <row r="8" spans="1:2" x14ac:dyDescent="0.25">
      <c r="A8" t="s">
        <v>3</v>
      </c>
      <c r="B8" s="4">
        <v>0</v>
      </c>
    </row>
    <row r="9" spans="1:2" x14ac:dyDescent="0.25">
      <c r="A9" t="s">
        <v>8</v>
      </c>
      <c r="B9" s="4">
        <v>0</v>
      </c>
    </row>
    <row r="10" spans="1:2" x14ac:dyDescent="0.25">
      <c r="A10" t="s">
        <v>21</v>
      </c>
      <c r="B10" s="4">
        <v>0</v>
      </c>
    </row>
    <row r="11" spans="1:2" x14ac:dyDescent="0.25">
      <c r="A11" t="s">
        <v>28</v>
      </c>
      <c r="B11" s="4">
        <v>0</v>
      </c>
    </row>
    <row r="12" spans="1:2" x14ac:dyDescent="0.25">
      <c r="A12" t="s">
        <v>30</v>
      </c>
      <c r="B12" s="4">
        <v>0</v>
      </c>
    </row>
    <row r="13" spans="1:2" x14ac:dyDescent="0.25">
      <c r="A13" t="s">
        <v>26</v>
      </c>
      <c r="B13" s="4">
        <v>0</v>
      </c>
    </row>
    <row r="14" spans="1:2" x14ac:dyDescent="0.25">
      <c r="A14" t="s">
        <v>27</v>
      </c>
      <c r="B14" s="4">
        <v>0</v>
      </c>
    </row>
    <row r="15" spans="1:2" x14ac:dyDescent="0.25">
      <c r="A15" t="s">
        <v>29</v>
      </c>
      <c r="B15" s="4">
        <f>tbl_SquirrelSave[SquirrelSave Performance Fee]</f>
        <v>7</v>
      </c>
    </row>
    <row r="16" spans="1:2" x14ac:dyDescent="0.25">
      <c r="A16" t="s">
        <v>41</v>
      </c>
      <c r="B16" s="4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252B0-9346-4DD2-8D41-4D0610856D83}">
  <sheetPr codeName="Sheet4"/>
  <dimension ref="A1:B2"/>
  <sheetViews>
    <sheetView workbookViewId="0">
      <selection activeCell="F19" sqref="F19"/>
    </sheetView>
  </sheetViews>
  <sheetFormatPr defaultRowHeight="15" x14ac:dyDescent="0.25"/>
  <cols>
    <col min="1" max="1" width="18" style="9" bestFit="1" customWidth="1"/>
    <col min="2" max="3" width="14.7109375" style="9" bestFit="1" customWidth="1"/>
    <col min="4" max="16384" width="9.140625" style="9"/>
  </cols>
  <sheetData>
    <row r="1" spans="1:2" x14ac:dyDescent="0.25">
      <c r="A1" s="9" t="s">
        <v>19</v>
      </c>
      <c r="B1" s="9" t="s">
        <v>18</v>
      </c>
    </row>
    <row r="2" spans="1:2" x14ac:dyDescent="0.25">
      <c r="A2" s="10" t="s">
        <v>17</v>
      </c>
      <c r="B2" s="9">
        <v>1.362004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0DE380-40BA-4476-B31A-993592CD5C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README</vt:lpstr>
      <vt:lpstr>Min</vt:lpstr>
      <vt:lpstr>PortfolioFees</vt:lpstr>
      <vt:lpstr>PlatformFees</vt:lpstr>
      <vt:lpstr>Ex 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Mintzer</dc:creator>
  <cp:lastModifiedBy>owner</cp:lastModifiedBy>
  <dcterms:created xsi:type="dcterms:W3CDTF">2016-07-01T22:12:54Z</dcterms:created>
  <dcterms:modified xsi:type="dcterms:W3CDTF">2019-11-15T10:30:57Z</dcterms:modified>
</cp:coreProperties>
</file>