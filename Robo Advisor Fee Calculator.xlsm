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515" documentId="11_672BDC89E690B400210F4DA0FA2DF0439BA15EC6" xr6:coauthVersionLast="41" xr6:coauthVersionMax="41" xr10:uidLastSave="{C904B340-B468-44B1-8960-349DAE1D8554}"/>
  <bookViews>
    <workbookView xWindow="810" yWindow="-120" windowWidth="19800" windowHeight="11760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2" l="1"/>
  <c r="E3" i="2"/>
  <c r="C10" i="2"/>
  <c r="E10" i="2"/>
  <c r="C11" i="2"/>
  <c r="E11" i="2"/>
  <c r="C9" i="2"/>
  <c r="E9" i="2"/>
  <c r="C4" i="2"/>
  <c r="E4" i="2"/>
  <c r="C6" i="2" l="1"/>
  <c r="C12" i="2"/>
  <c r="C14" i="2"/>
  <c r="C5" i="2"/>
  <c r="C7" i="2"/>
  <c r="C15" i="2"/>
  <c r="C8" i="2"/>
  <c r="C13" i="2"/>
  <c r="C2" i="2"/>
  <c r="D2" i="2" l="1"/>
  <c r="F2" i="2" s="1"/>
  <c r="G2" i="2" l="1"/>
  <c r="E13" i="2"/>
  <c r="E5" i="2"/>
  <c r="E14" i="2"/>
  <c r="E7" i="2"/>
  <c r="E15" i="2"/>
  <c r="E8" i="2"/>
  <c r="B2" i="5" l="1"/>
  <c r="E2" i="2" l="1"/>
  <c r="H2" i="2" l="1"/>
  <c r="B3" i="2" l="1"/>
  <c r="D3" i="2" l="1"/>
  <c r="F3" i="2" s="1"/>
  <c r="G3" i="2"/>
  <c r="B4" i="2" l="1"/>
  <c r="H3" i="2"/>
  <c r="G4" i="2" l="1"/>
  <c r="D4" i="2"/>
  <c r="B5" i="2"/>
  <c r="B6" i="2" s="1"/>
  <c r="G6" i="2" l="1"/>
  <c r="E6" i="2"/>
  <c r="D6" i="2"/>
  <c r="F6" i="2" s="1"/>
  <c r="H6" i="2" s="1"/>
  <c r="B7" i="2"/>
  <c r="D5" i="2"/>
  <c r="F5" i="2" s="1"/>
  <c r="G5" i="2"/>
  <c r="F4" i="2"/>
  <c r="H4" i="2" s="1"/>
  <c r="H5" i="2" l="1"/>
  <c r="G7" i="2"/>
  <c r="D7" i="2"/>
  <c r="F7" i="2" s="1"/>
  <c r="H7" i="2" s="1"/>
  <c r="B8" i="2" l="1"/>
  <c r="B9" i="2" s="1"/>
  <c r="D9" i="2" l="1"/>
  <c r="G9" i="2"/>
  <c r="B10" i="2"/>
  <c r="D8" i="2"/>
  <c r="G8" i="2"/>
  <c r="B11" i="2" l="1"/>
  <c r="G10" i="2"/>
  <c r="D10" i="2"/>
  <c r="F9" i="2"/>
  <c r="H9" i="2"/>
  <c r="F8" i="2"/>
  <c r="H8" i="2" s="1"/>
  <c r="F10" i="2" l="1"/>
  <c r="H10" i="2"/>
  <c r="G11" i="2"/>
  <c r="B12" i="2"/>
  <c r="D11" i="2"/>
  <c r="F11" i="2" s="1"/>
  <c r="H11" i="2" l="1"/>
  <c r="E12" i="2"/>
  <c r="G12" i="2"/>
  <c r="D12" i="2"/>
  <c r="F12" i="2" s="1"/>
  <c r="H12" i="2" s="1"/>
  <c r="B13" i="2"/>
  <c r="G13" i="2" l="1"/>
  <c r="D13" i="2"/>
  <c r="B14" i="2"/>
  <c r="H13" i="2" l="1"/>
  <c r="F13" i="2"/>
  <c r="D14" i="2"/>
  <c r="F14" i="2" s="1"/>
  <c r="H14" i="2" s="1"/>
  <c r="G14" i="2"/>
  <c r="B15" i="2"/>
  <c r="G15" i="2" l="1"/>
  <c r="D15" i="2"/>
  <c r="H15" i="2" l="1"/>
  <c r="F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<sst xmlns="http://schemas.openxmlformats.org/spreadsheetml/2006/main" count="85" uniqueCount="33">
  <si>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</si>
  <si>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</si>
  <si>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</si>
  <si>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</si>
  <si>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</si>
  <si>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</si>
  <si>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</si>
  <si>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</si>
  <si>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</si>
  <si>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</si>
  <si>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</si>
  <si>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</si>
  <si>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</si>
  <si>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</si>
  <si>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</si>
  <si>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</si>
  <si>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</si>
  <si>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</si>
  <si>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</si>
  <si>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</si>
  <si>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</si>
  <si>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</si>
  <si>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</si>
  <si>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</si>
  <si>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Minimum Investment</t>
  </si>
  <si>
    <t>Able to Invest</t>
  </si>
  <si>
    <t>Please don’t delete any sheets on the right, otherwise the programme will break!</t>
  </si>
  <si>
    <t>Syfe (Black)</t>
  </si>
  <si>
    <t>Syfe (Gold)</t>
  </si>
  <si>
    <t>Syfe (Blue)</t>
  </si>
  <si>
    <r>
      <t>Click</t>
    </r>
    <r>
      <rPr>
        <b/>
        <sz val="11"/>
        <color rgb="FFFF0000"/>
        <rFont val="Calibri"/>
        <family val="2"/>
      </rPr>
      <t xml:space="preserve"> Input Principal </t>
    </r>
    <r>
      <rPr>
        <b/>
        <sz val="11"/>
        <color theme="1"/>
        <rFont val="Calibri"/>
        <family val="2"/>
      </rPr>
      <t>button to enter investment amount to compute respective fees for</t>
    </r>
  </si>
  <si>
    <t>SquirrelSave</t>
  </si>
  <si>
    <t>Kristal.AI (Accredited)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</si>
</sst>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164" fontId="2" fillId="0" borderId="0" xfId="0" applyNumberFormat="1" applyFont="1" applyFill="1"/>
    <xf numFmtId="2" fontId="2" fillId="0" borderId="0" xfId="0" applyNumberFormat="1" applyFont="1" applyFill="1"/>
    <xf numFmtId="9" fontId="0" fillId="0" borderId="0" xfId="0" applyNumberFormat="1"/>
    <xf numFmtId="164" fontId="0" fillId="0" borderId="0" xfId="0" applyNumberFormat="1" applyFont="1"/>
    <xf numFmtId="10" fontId="0" fillId="0" borderId="0" xfId="2" applyNumberFormat="1" applyFont="1"/>
    <xf numFmtId="164" fontId="2" fillId="0" borderId="0" xfId="0" applyNumberFormat="1" applyFont="1" applyFill="1" applyProtection="1">
      <protection locked="0"/>
    </xf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  <xf numFmtId="0" fontId="2" fillId="0" borderId="0" xfId="0" applyNumberFormat="1" applyFont="1" applyFill="1"/>
    <xf numFmtId="2" fontId="2" fillId="0" borderId="0" xfId="0" applyNumberFormat="1" applyFont="1" applyFill="1" applyAlignment="1">
      <alignment wrapText="1"/>
    </xf>
  </cellXfs>
  <cellStyles count="3">
    <cellStyle name="Normal" xfId="0" builtinId="0"/>
    <cellStyle name="Normal 2" xfId="1" xr:uid="{6CB0E59A-849F-4616-B4C7-35C17DA85629}"/>
    <cellStyle name="Percent" xfId="2" builtinId="5"/>
  </cellStyles>
  <dxfs count="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&quot;$&quot;#,##0.00"/>
    </dxf>
    <dxf>
      <numFmt numFmtId="0" formatCode="General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164" formatCode="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881062</xdr:colOff>
      <xdr:row>15</xdr:row>
      <xdr:rowOff>111125</xdr:rowOff>
    </xdr:from>
    <xdr:to>
      <xdr:col>1</xdr:col>
      <xdr:colOff>0</xdr:colOff>
      <xdr:row>18</xdr:row>
      <xdr:rowOff>162084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1062" y="4310063"/>
          <a:ext cx="1071563" cy="78914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>
              <a:solidFill>
                <a:schemeClr val="bg1"/>
              </a:solidFill>
            </a:rPr>
            <a:t>Input Principal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5" totalsRowShown="0" headerRowDxfId="24" dataDxfId="23">
  <autoFilter ref="A1:H15" xr:uid="{00000000-0009-0000-0100-000002000000}"/>
  <sortState xmlns:xlrd2="http://schemas.microsoft.com/office/spreadsheetml/2017/richdata2" ref="A2:H15">
    <sortCondition ref="H2"/>
  </sortState>
  <tableColumns count="8">
    <tableColumn id="2" xr3:uid="{00000000-0010-0000-0000-000002000000}" name="Robo - Advisor" dataDxfId="22"/>
    <tableColumn id="1" xr3:uid="{00000000-0010-0000-0000-000001000000}" name="Principal" dataDxfId="21"/>
    <tableColumn id="3" xr3:uid="{00000000-0010-0000-0000-000003000000}" name="Minimum Investment" dataDxfId="20">
      <calculatedColumnFormula>VLOOKUP(Table2[[#This Row],[Robo - Advisor]],tbl_minamt[],2,FALSE)</calculatedColumnFormula>
    </tableColumn>
    <tableColumn id="7" xr3:uid="{00000000-0010-0000-0000-000007000000}" name="Able to Invest" dataDxfId="19">
      <calculatedColumnFormula>Table2[[#This Row],[Principal]]&gt;=Table2[[#This Row],[Minimum Investment]]</calculatedColumnFormula>
    </tableColumn>
    <tableColumn id="8" xr3:uid="{8FF77C73-B849-4FEA-A74E-BDA4F406ED30}" name="Portfolio Fee (%)" dataDxfId="18">
      <calculatedColumnFormula>VLOOKUP(Table2[[#This Row],[Robo - Advisor]],tbl_PortfolioFees[],2,FALSE)*100</calculatedColumnFormula>
    </tableColumn>
    <tableColumn id="4" xr3:uid="{00000000-0010-0000-0000-000004000000}" name="Portfolio Fee" dataDxfId="17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16">
      <calculatedColumnFormula>IF(B2&lt;C2,"-",VLOOKUP(Table2[[#This Row],[Robo - Advisor]],tbl_PlatformFees[],2,FALSE))</calculatedColumnFormula>
    </tableColumn>
    <tableColumn id="6" xr3:uid="{00000000-0010-0000-0000-000006000000}" name="Total Fees" dataDxfId="15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5" totalsRowShown="0">
  <autoFilter ref="A1:B15" xr:uid="{22BD0EB3-2C41-438E-805B-E6BC75BC18CA}"/>
  <tableColumns count="2">
    <tableColumn id="1" xr3:uid="{25465460-710F-4CBB-95D6-9C8964A3D9F3}" name="Platform"/>
    <tableColumn id="2" xr3:uid="{691431E5-A183-4B20-B49D-5D774D927E74}" name="Minimum Amt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20:B27" totalsRowShown="0">
  <autoFilter ref="A20:B27" xr:uid="{00000000-0009-0000-0100-000001000000}"/>
  <tableColumns count="2">
    <tableColumn id="1" xr3:uid="{00000000-0010-0000-0100-000001000000}" name="Amount" dataDxfId="13"/>
    <tableColumn id="2" xr3:uid="{00000000-0010-0000-0100-000002000000}" name="Fees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5" totalsRowShown="0">
  <autoFilter ref="A1:B15" xr:uid="{00000000-0009-0000-0100-000003000000}"/>
  <tableColumns count="2">
    <tableColumn id="1" xr3:uid="{00000000-0010-0000-0200-000001000000}" name="Platform"/>
    <tableColumn id="2" xr3:uid="{00000000-0010-0000-0200-000002000000}" name="Fees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9:B34" totalsRowShown="0" tableBorderDxfId="10">
  <autoFilter ref="A29:B34" xr:uid="{00000000-0009-0000-0100-000005000000}"/>
  <tableColumns count="2">
    <tableColumn id="1" xr3:uid="{00000000-0010-0000-0300-000001000000}" name="Amount" dataDxfId="9"/>
    <tableColumn id="2" xr3:uid="{00000000-0010-0000-0300-000002000000}" name="Fees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36:B38" totalsRowShown="0">
  <autoFilter ref="A36:B38" xr:uid="{57503C41-7C6B-4D41-BB62-2ADAD75A5FC0}"/>
  <tableColumns count="2">
    <tableColumn id="1" xr3:uid="{AE203000-AD75-4F65-AE29-B9D893CB6A52}" name="Amount" dataDxfId="7"/>
    <tableColumn id="2" xr3:uid="{9A6B130B-B137-46CD-98A2-857584000B2A}" name="Fe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40:B43" totalsRowShown="0">
  <autoFilter ref="A40:B43" xr:uid="{41E07732-8DD4-4AFE-A5B1-ABE471BC8F1A}"/>
  <tableColumns count="2">
    <tableColumn id="1" xr3:uid="{DED371F3-0212-46EE-8AD0-B14B3CEFA302}" name="Amount" dataDxfId="6"/>
    <tableColumn id="2" xr3:uid="{A3E073B4-29CB-45ED-A4B6-68133A0001F1}" name="Fees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5" totalsRowShown="0">
  <autoFilter ref="A1:B15" xr:uid="{00000000-0009-0000-0100-000004000000}"/>
  <tableColumns count="2">
    <tableColumn id="1" xr3:uid="{00000000-0010-0000-0400-000001000000}" name="Platform"/>
    <tableColumn id="2" xr3:uid="{00000000-0010-0000-0400-000002000000}" name="Fees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4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topLeftCell="A7" zoomScaleNormal="100" workbookViewId="0">
      <pane xSplit="3" topLeftCell="D1" activePane="topRight" state="frozen"/>
      <selection pane="topRight" activeCell="G6" sqref="G6"/>
    </sheetView>
  </sheetViews>
  <sheetFormatPr defaultRowHeight="19.5" x14ac:dyDescent="0.25"/>
  <cols>
    <col min="1" max="1" width="29.28515625" style="11" bestFit="1" customWidth="1"/>
    <col min="2" max="2" width="20.85546875" style="11" bestFit="1" customWidth="1"/>
    <col min="3" max="3" width="18.42578125" bestFit="1" customWidth="1"/>
    <col min="4" max="4" width="12.85546875" style="11" customWidth="1"/>
    <col min="5" max="5" width="14.85546875" style="11" customWidth="1"/>
    <col min="6" max="6" width="12.85546875" style="11" customWidth="1"/>
    <col min="7" max="7" width="14.140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40.5" x14ac:dyDescent="0.3">
      <c r="A1" s="18" t="s">
        <v>23</v>
      </c>
      <c r="B1" s="18" t="s">
        <v>0</v>
      </c>
      <c r="C1" s="19" t="s">
        <v>24</v>
      </c>
      <c r="D1" s="18" t="s">
        <v>25</v>
      </c>
      <c r="E1" s="19" t="s">
        <v>20</v>
      </c>
      <c r="F1" s="19" t="s">
        <v>12</v>
      </c>
      <c r="G1" s="19" t="s">
        <v>10</v>
      </c>
      <c r="H1" s="19" t="s">
        <v>11</v>
      </c>
    </row>
    <row r="2" spans="1:8" x14ac:dyDescent="0.25">
      <c r="A2" s="11" t="s">
        <v>7</v>
      </c>
      <c r="B2" s="17">
        <v>2000</v>
      </c>
      <c r="C2" s="17">
        <f>VLOOKUP(Table2[[#This Row],[Robo - Advisor]],tbl_minamt[],2,FALSE)</f>
        <v>60</v>
      </c>
      <c r="D2" s="11" t="b">
        <f>Table2[[#This Row],[Principal]]&gt;=Table2[[#This Row],[Minimum Investment]]</f>
        <v>1</v>
      </c>
      <c r="E2" s="13">
        <f>VLOOKUP(Table2[[#This Row],[Principal]],tbl_kristalai[],2,TRUE)*100</f>
        <v>0</v>
      </c>
      <c r="F2" s="12">
        <f>IF(NOT(Table2[[#This Row],[Able to Invest]]),"-",Table2[[#This Row],[Principal]]*VLOOKUP(Table2[[#This Row],[Robo - Advisor]],tbl_PortfolioFees[],2,FALSE))</f>
        <v>0</v>
      </c>
      <c r="G2" s="12">
        <f>IF(NOT(Table2[[#This Row],[Able to Invest]]),"-",VLOOKUP(Table2[[#This Row],[Robo - Advisor]],tbl_PlatformFees[],2,FALSE))</f>
        <v>0</v>
      </c>
      <c r="H2" s="12">
        <f>IF(Table2[[#This Row],[Able to Invest]],IFERROR(F2+G2,0),"Cannot Invest")</f>
        <v>0</v>
      </c>
    </row>
    <row r="3" spans="1:8" x14ac:dyDescent="0.25">
      <c r="A3" s="11" t="s">
        <v>31</v>
      </c>
      <c r="B3" s="12">
        <f>B2</f>
        <v>2000</v>
      </c>
      <c r="C3" s="17">
        <f>VLOOKUP(Table2[[#This Row],[Robo - Advisor]],tbl_minamt[],2,FALSE)</f>
        <v>0</v>
      </c>
      <c r="D3" s="23" t="b">
        <f>Table2[[#This Row],[Principal]]&gt;=Table2[[#This Row],[Minimum Investment]]</f>
        <v>1</v>
      </c>
      <c r="E3" s="13">
        <f>VLOOKUP(Table2[[#This Row],[Robo - Advisor]],tbl_PortfolioFees[],2,FALSE)*100</f>
        <v>0.5</v>
      </c>
      <c r="F3" s="12">
        <f>IF(NOT(Table2[[#This Row],[Able to Invest]]),"-",Table2[[#This Row],[Principal]]*VLOOKUP(Table2[[#This Row],[Robo - Advisor]],tbl_PortfolioFees[],2,FALSE))</f>
        <v>10</v>
      </c>
      <c r="G3" s="12">
        <f>IF(B3&lt;C3,"-",VLOOKUP(Table2[[#This Row],[Robo - Advisor]],tbl_PlatformFees[],2,FALSE))</f>
        <v>0</v>
      </c>
      <c r="H3" s="12">
        <f>IF(Table2[[#This Row],[Able to Invest]],IFERROR(F3+G3,0),"Cannot Invest")</f>
        <v>10</v>
      </c>
    </row>
    <row r="4" spans="1:8" x14ac:dyDescent="0.25">
      <c r="A4" s="11" t="s">
        <v>29</v>
      </c>
      <c r="B4" s="12">
        <f>B3</f>
        <v>2000</v>
      </c>
      <c r="C4" s="17">
        <f>VLOOKUP(Table2[[#This Row],[Robo - Advisor]],tbl_minamt[],2,FALSE)</f>
        <v>0</v>
      </c>
      <c r="D4" s="23" t="b">
        <f>Table2[[#This Row],[Principal]]&gt;=Table2[[#This Row],[Minimum Investment]]</f>
        <v>1</v>
      </c>
      <c r="E4" s="13">
        <f>VLOOKUP(Table2[[#This Row],[Robo - Advisor]],tbl_PortfolioFees[],2,FALSE)*100</f>
        <v>0.65</v>
      </c>
      <c r="F4" s="12">
        <f>IF(NOT(Table2[[#This Row],[Able to Invest]]),"-",Table2[[#This Row],[Principal]]*VLOOKUP(Table2[[#This Row],[Robo - Advisor]],tbl_PortfolioFees[],2,FALSE))</f>
        <v>13</v>
      </c>
      <c r="G4" s="12">
        <f>IF(B4&lt;C4,"-",VLOOKUP(Table2[[#This Row],[Robo - Advisor]],tbl_PlatformFees[],2,FALSE))</f>
        <v>0</v>
      </c>
      <c r="H4" s="12">
        <f>IF(Table2[[#This Row],[Able to Invest]],IFERROR(F4+G4,0),"Cannot Invest")</f>
        <v>13</v>
      </c>
    </row>
    <row r="5" spans="1:8" x14ac:dyDescent="0.25">
      <c r="A5" s="11" t="s">
        <v>21</v>
      </c>
      <c r="B5" s="12">
        <f>B4</f>
        <v>2000</v>
      </c>
      <c r="C5" s="17">
        <f>VLOOKUP(Table2[[#This Row],[Robo - Advisor]],tbl_minamt[],2,FALSE)</f>
        <v>1000</v>
      </c>
      <c r="D5" s="11" t="b">
        <f>Table2[[#This Row],[Principal]]&gt;=Table2[[#This Row],[Minimum Investment]]</f>
        <v>1</v>
      </c>
      <c r="E5" s="13">
        <f>VLOOKUP(Table2[[#This Row],[Robo - Advisor]],tbl_PortfolioFees[],2,FALSE)*100</f>
        <v>0.75</v>
      </c>
      <c r="F5" s="12">
        <f>IF(NOT(Table2[[#This Row],[Able to Invest]]),"-",Table2[[#This Row],[Principal]]*VLOOKUP(Table2[[#This Row],[Robo - Advisor]],tbl_PortfolioFees[],2,FALSE))</f>
        <v>15</v>
      </c>
      <c r="G5" s="12">
        <f>IF(B5&lt;C5,"-",VLOOKUP(Table2[[#This Row],[Robo - Advisor]],tbl_PlatformFees[],2,FALSE))</f>
        <v>0</v>
      </c>
      <c r="H5" s="12">
        <f>IF(Table2[[#This Row],[Able to Invest]],IFERROR(F5+G5,0),"Cannot Invest")</f>
        <v>15</v>
      </c>
    </row>
    <row r="6" spans="1:8" x14ac:dyDescent="0.25">
      <c r="A6" s="11" t="s">
        <v>3</v>
      </c>
      <c r="B6" s="12">
        <f>B5</f>
        <v>2000</v>
      </c>
      <c r="C6" s="17">
        <f>VLOOKUP(Table2[[#This Row],[Robo - Advisor]],tbl_minamt[],2,FALSE)</f>
        <v>50</v>
      </c>
      <c r="D6" s="11" t="b">
        <f>Table2[[#This Row],[Principal]]&gt;=Table2[[#This Row],[Minimum Investment]]</f>
        <v>1</v>
      </c>
      <c r="E6" s="13">
        <f>VLOOKUP(Table2[[#This Row],[Principal]],tbl_Stashaway[],2,TRUE)*100</f>
        <v>0.8</v>
      </c>
      <c r="F6" s="12">
        <f>IF(NOT(Table2[[#This Row],[Able to Invest]]),"-",Table2[[#This Row],[Principal]]*VLOOKUP(Table2[[#This Row],[Principal]],tbl_Stashaway[],2,TRUE))</f>
        <v>16</v>
      </c>
      <c r="G6" s="12">
        <f>IF(B6&lt;C6,"-",VLOOKUP(Table2[[#This Row],[Robo - Advisor]],tbl_PlatformFees[],2,FALSE))</f>
        <v>0</v>
      </c>
      <c r="H6" s="12">
        <f>IF(Table2[[#This Row],[Able to Invest]],IFERROR(F6+G6,0),"Cannot Invest")</f>
        <v>16</v>
      </c>
    </row>
    <row r="7" spans="1:8" x14ac:dyDescent="0.25">
      <c r="A7" s="11" t="s">
        <v>6</v>
      </c>
      <c r="B7" s="12">
        <f>B6</f>
        <v>2000</v>
      </c>
      <c r="C7" s="17">
        <f>VLOOKUP(Table2[[#This Row],[Robo - Advisor]],tbl_minamt[],2,FALSE)</f>
        <v>100</v>
      </c>
      <c r="D7" s="11" t="b">
        <f>Table2[[#This Row],[Principal]]&gt;=Table2[[#This Row],[Minimum Investment]]</f>
        <v>1</v>
      </c>
      <c r="E7" s="13">
        <f>VLOOKUP(Table2[[#This Row],[Robo - Advisor]],tbl_PortfolioFees[],2,FALSE)*100</f>
        <v>0.65</v>
      </c>
      <c r="F7" s="12">
        <f>IF(NOT(Table2[[#This Row],[Able to Invest]]),"-",Table2[[#This Row],[Principal]]*VLOOKUP(Table2[[#This Row],[Robo - Advisor]],tbl_PortfolioFees[],2,FALSE))</f>
        <v>13</v>
      </c>
      <c r="G7" s="12">
        <f>IF(B7&lt;C7,"-",Table2[[#This Row],[Principal]]*VLOOKUP(Table2[[#This Row],[Robo - Advisor]],tbl_PlatformFees[],2,FALSE))</f>
        <v>3.6</v>
      </c>
      <c r="H7" s="12">
        <f>IF(Table2[[#This Row],[Able to Invest]],IFERROR(F7+G7,0),"Cannot Invest")</f>
        <v>16.600000000000001</v>
      </c>
    </row>
    <row r="8" spans="1:8" x14ac:dyDescent="0.25">
      <c r="A8" s="11" t="s">
        <v>4</v>
      </c>
      <c r="B8" s="12">
        <f>B7</f>
        <v>2000</v>
      </c>
      <c r="C8" s="17">
        <f>VLOOKUP(Table2[[#This Row],[Robo - Advisor]],tbl_minamt[],2,FALSE)</f>
        <v>50</v>
      </c>
      <c r="D8" s="11" t="b">
        <f>Table2[[#This Row],[Principal]]&gt;=Table2[[#This Row],[Minimum Investment]]</f>
        <v>1</v>
      </c>
      <c r="E8" s="13">
        <f>VLOOKUP(Table2[[#This Row],[Robo - Advisor]],tbl_PortfolioFees[],2,FALSE)*100</f>
        <v>1</v>
      </c>
      <c r="F8" s="12">
        <f>IF(NOT(Table2[[#This Row],[Able to Invest]]),"-",Table2[[#This Row],[Principal]]*VLOOKUP(Table2[[#This Row],[Robo - Advisor]],tbl_PortfolioFees[],2,FALSE))</f>
        <v>20</v>
      </c>
      <c r="G8" s="12">
        <f>IF(B8&lt;C8,"-",VLOOKUP(Table2[[#This Row],[Robo - Advisor]],tbl_PlatformFees[],2,FALSE))</f>
        <v>0</v>
      </c>
      <c r="H8" s="12">
        <f>IF(Table2[[#This Row],[Able to Invest]],IFERROR(F8+G8,0),"Cannot Invest")</f>
        <v>20</v>
      </c>
    </row>
    <row r="9" spans="1:8" x14ac:dyDescent="0.25">
      <c r="A9" s="11" t="s">
        <v>32</v>
      </c>
      <c r="B9" s="12">
        <f>B8</f>
        <v>2000</v>
      </c>
      <c r="C9" s="17">
        <f>VLOOKUP(Table2[[#This Row],[Robo - Advisor]],tbl_minamt[],2,FALSE)</f>
        <v>50000</v>
      </c>
      <c r="D9" s="23" t="b">
        <f>Table2[[#This Row],[Principal]]&gt;=Table2[[#This Row],[Minimum Investment]]</f>
        <v>0</v>
      </c>
      <c r="E9" s="24">
        <f>VLOOKUP(Table2[[#This Row],[Robo - Advisor]],tbl_PortfolioFees[],2,FALSE)*100</f>
        <v>0.3</v>
      </c>
      <c r="F9" s="12" t="str">
        <f>IF(NOT(Table2[[#This Row],[Able to Invest]]),"-",Table2[[#This Row],[Principal]]*VLOOKUP(Table2[[#This Row],[Robo - Advisor]],tbl_PortfolioFees[],2,FALSE))</f>
        <v>-</v>
      </c>
      <c r="G9" s="12" t="str">
        <f>IF(B9&lt;C9,"-",VLOOKUP(Table2[[#This Row],[Robo - Advisor]],tbl_PlatformFees[],2,FALSE))</f>
        <v>-</v>
      </c>
      <c r="H9" s="12" t="str">
        <f>IF(Table2[[#This Row],[Able to Invest]],IFERROR(F9+G9,0),"Cannot Invest")</f>
        <v>Cannot Invest</v>
      </c>
    </row>
    <row r="10" spans="1:8" x14ac:dyDescent="0.25">
      <c r="A10" s="11" t="s">
        <v>28</v>
      </c>
      <c r="B10" s="12">
        <f>B9</f>
        <v>2000</v>
      </c>
      <c r="C10" s="17">
        <f>VLOOKUP(Table2[[#This Row],[Robo - Advisor]],tbl_minamt[],2,FALSE)</f>
        <v>100000</v>
      </c>
      <c r="D10" s="23" t="b">
        <f>Table2[[#This Row],[Principal]]&gt;=Table2[[#This Row],[Minimum Investment]]</f>
        <v>0</v>
      </c>
      <c r="E10" s="13">
        <f>VLOOKUP(Table2[[#This Row],[Robo - Advisor]],tbl_PortfolioFees[],2,FALSE)*100</f>
        <v>0.4</v>
      </c>
      <c r="F10" s="12" t="str">
        <f>IF(NOT(Table2[[#This Row],[Able to Invest]]),"-",Table2[[#This Row],[Principal]]*VLOOKUP(Table2[[#This Row],[Robo - Advisor]],tbl_PortfolioFees[],2,FALSE))</f>
        <v>-</v>
      </c>
      <c r="G10" s="12" t="str">
        <f>IF(B10&lt;C10,"-",VLOOKUP(Table2[[#This Row],[Robo - Advisor]],tbl_PlatformFees[],2,FALSE))</f>
        <v>-</v>
      </c>
      <c r="H10" s="12" t="str">
        <f>IF(Table2[[#This Row],[Able to Invest]],IFERROR(F10+G10,0),"Cannot Invest")</f>
        <v>Cannot Invest</v>
      </c>
    </row>
    <row r="11" spans="1:8" x14ac:dyDescent="0.25">
      <c r="A11" s="11" t="s">
        <v>27</v>
      </c>
      <c r="B11" s="12">
        <f>B10</f>
        <v>2000</v>
      </c>
      <c r="C11" s="17">
        <f>VLOOKUP(Table2[[#This Row],[Robo - Advisor]],tbl_minamt[],2,FALSE)</f>
        <v>20000</v>
      </c>
      <c r="D11" s="23" t="b">
        <f>Table2[[#This Row],[Principal]]&gt;=Table2[[#This Row],[Minimum Investment]]</f>
        <v>0</v>
      </c>
      <c r="E11" s="13">
        <f>VLOOKUP(Table2[[#This Row],[Robo - Advisor]],tbl_PortfolioFees[],2,FALSE)*100</f>
        <v>0.5</v>
      </c>
      <c r="F11" s="12" t="str">
        <f>IF(NOT(Table2[[#This Row],[Able to Invest]]),"-",Table2[[#This Row],[Principal]]*VLOOKUP(Table2[[#This Row],[Robo - Advisor]],tbl_PortfolioFees[],2,FALSE))</f>
        <v>-</v>
      </c>
      <c r="G11" s="12" t="str">
        <f>IF(B11&lt;C11,"-",VLOOKUP(Table2[[#This Row],[Robo - Advisor]],tbl_PlatformFees[],2,FALSE))</f>
        <v>-</v>
      </c>
      <c r="H11" s="12" t="str">
        <f>IF(Table2[[#This Row],[Able to Invest]],IFERROR(F11+G11,0),"Cannot Invest")</f>
        <v>Cannot Invest</v>
      </c>
    </row>
    <row r="12" spans="1:8" x14ac:dyDescent="0.25">
      <c r="A12" s="11" t="s">
        <v>8</v>
      </c>
      <c r="B12" s="12">
        <f>B11</f>
        <v>2000</v>
      </c>
      <c r="C12" s="17">
        <f>VLOOKUP(Table2[[#This Row],[Robo - Advisor]],tbl_minamt[],2,FALSE)</f>
        <v>5000</v>
      </c>
      <c r="D12" s="11" t="b">
        <f>Table2[[#This Row],[Principal]]&gt;=Table2[[#This Row],[Minimum Investment]]</f>
        <v>0</v>
      </c>
      <c r="E12" s="13">
        <f>VLOOKUP(Table2[[#This Row],[Principal]],tbl_utraderobo[],2,TRUE)*100</f>
        <v>0.88</v>
      </c>
      <c r="F12" s="12" t="str">
        <f>IF(NOT(Table2[[#This Row],[Able to Invest]]),"-",Table2[[#This Row],[Principal]]*VLOOKUP(Table2[[#This Row],[Principal]],tbl_utraderobo[],2,TRUE))</f>
        <v>-</v>
      </c>
      <c r="G12" s="12" t="str">
        <f>IF(B12&lt;C12,"-",VLOOKUP(Table2[[#This Row],[Robo - Advisor]],tbl_PlatformFees[],2,FALSE))</f>
        <v>-</v>
      </c>
      <c r="H12" s="12" t="str">
        <f>IF(Table2[[#This Row],[Able to Invest]],IFERROR(F12+G12,0),"Cannot Invest")</f>
        <v>Cannot Invest</v>
      </c>
    </row>
    <row r="13" spans="1:8" x14ac:dyDescent="0.25">
      <c r="A13" s="11" t="s">
        <v>2</v>
      </c>
      <c r="B13" s="12">
        <f>B12</f>
        <v>2000</v>
      </c>
      <c r="C13" s="17">
        <f>VLOOKUP(Table2[[#This Row],[Robo - Advisor]],tbl_minamt[],2,FALSE)</f>
        <v>3000</v>
      </c>
      <c r="D13" s="11" t="b">
        <f>Table2[[#This Row],[Principal]]&gt;=Table2[[#This Row],[Minimum Investment]]</f>
        <v>0</v>
      </c>
      <c r="E13" s="13">
        <f>VLOOKUP(Table2[[#This Row],[Robo - Advisor]],tbl_PortfolioFees[],2,FALSE)*100</f>
        <v>0.5</v>
      </c>
      <c r="F13" s="12" t="str">
        <f>IF(NOT(Table2[[#This Row],[Able to Invest]]),"-",Table2[[#This Row],[Principal]]*VLOOKUP(Table2[[#This Row],[Robo - Advisor]],tbl_PortfolioFees[],2,FALSE))</f>
        <v>-</v>
      </c>
      <c r="G13" s="12" t="str">
        <f>IF(B13&lt;C13,"-",VLOOKUP(Table2[[#This Row],[Robo - Advisor]],tbl_PlatformFees[],2,FALSE))</f>
        <v>-</v>
      </c>
      <c r="H13" s="12" t="str">
        <f>IF(Table2[[#This Row],[Able to Invest]],IFERROR(F13+G13,0),"Cannot Invest")</f>
        <v>Cannot Invest</v>
      </c>
    </row>
    <row r="14" spans="1:8" x14ac:dyDescent="0.25">
      <c r="A14" s="11" t="s">
        <v>16</v>
      </c>
      <c r="B14" s="12">
        <f>B13</f>
        <v>2000</v>
      </c>
      <c r="C14" s="17">
        <f>VLOOKUP(Table2[[#This Row],[Robo - Advisor]],tbl_minamt[],2,FALSE)</f>
        <v>3000</v>
      </c>
      <c r="D14" s="11" t="b">
        <f>Table2[[#This Row],[Principal]]&gt;=Table2[[#This Row],[Minimum Investment]]</f>
        <v>0</v>
      </c>
      <c r="E14" s="13">
        <f>VLOOKUP(Table2[[#This Row],[Robo - Advisor]],tbl_PortfolioFees[],2,FALSE)*100</f>
        <v>0.6</v>
      </c>
      <c r="F14" s="12" t="str">
        <f>IF(NOT(Table2[[#This Row],[Able to Invest]]),"-",Table2[[#This Row],[Principal]]*VLOOKUP(Table2[[#This Row],[Robo - Advisor]],tbl_PortfolioFees[],2,FALSE))</f>
        <v>-</v>
      </c>
      <c r="G14" s="12" t="str">
        <f>IF(B14&lt;C14,"-",VLOOKUP(Table2[[#This Row],[Robo - Advisor]],tbl_PlatformFees[],2,FALSE))</f>
        <v>-</v>
      </c>
      <c r="H14" s="12" t="str">
        <f>IF(Table2[[#This Row],[Able to Invest]],IFERROR(F14+G14,0),"Cannot Invest")</f>
        <v>Cannot Invest</v>
      </c>
    </row>
    <row r="15" spans="1:8" x14ac:dyDescent="0.25">
      <c r="A15" s="11" t="s">
        <v>9</v>
      </c>
      <c r="B15" s="12">
        <f>B14</f>
        <v>2000</v>
      </c>
      <c r="C15" s="17">
        <f>VLOOKUP(Table2[[#This Row],[Robo - Advisor]],tbl_minamt[],2,FALSE)</f>
        <v>3500</v>
      </c>
      <c r="D15" s="11" t="b">
        <f>Table2[[#This Row],[Principal]]&gt;=Table2[[#This Row],[Minimum Investment]]</f>
        <v>0</v>
      </c>
      <c r="E15" s="13">
        <f>VLOOKUP(Table2[[#This Row],[Robo - Advisor]],tbl_PortfolioFees[],2,FALSE)*100</f>
        <v>0.88</v>
      </c>
      <c r="F15" s="12" t="str">
        <f>IF(NOT(Table2[[#This Row],[Able to Invest]]),"-",Table2[[#This Row],[Principal]]*VLOOKUP(Table2[[#This Row],[Robo - Advisor]],tbl_PortfolioFees[],2,FALSE))</f>
        <v>-</v>
      </c>
      <c r="G15" s="12" t="str">
        <f>IF(B15&lt;C15,"-",VLOOKUP(Table2[[#This Row],[Robo - Advisor]],tbl_PlatformFees[],2,FALSE))</f>
        <v>-</v>
      </c>
      <c r="H15" s="12" t="str">
        <f>IF(Table2[[#This Row],[Able to Invest]],IFERROR(F15+G15,0),"Cannot Invest")</f>
        <v>Cannot Invest</v>
      </c>
    </row>
  </sheetData>
  <sheetProtection formatColumns="0" formatRows="0" selectLockedCells="1"/>
  <conditionalFormatting sqref="A2:H15">
    <cfRule type="expression" dxfId="2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dimension ref="A2:J3"/>
  <sheetViews>
    <sheetView workbookViewId="0">
      <selection activeCell="I8" sqref="I8"/>
    </sheetView>
  </sheetViews>
  <sheetFormatPr defaultRowHeight="15" x14ac:dyDescent="0.25"/>
  <sheetData>
    <row r="2" spans="1:10" x14ac:dyDescent="0.25">
      <c r="A2" s="22">
        <v>1</v>
      </c>
      <c r="B2" s="21" t="s">
        <v>30</v>
      </c>
      <c r="C2" s="21"/>
      <c r="D2" s="20"/>
      <c r="E2" s="20"/>
      <c r="F2" s="20"/>
      <c r="G2" s="20"/>
      <c r="H2" s="20"/>
      <c r="I2" s="20"/>
      <c r="J2" s="20"/>
    </row>
    <row r="3" spans="1:10" x14ac:dyDescent="0.25">
      <c r="A3" s="22">
        <v>2</v>
      </c>
      <c r="B3" s="21" t="s">
        <v>26</v>
      </c>
      <c r="C3" s="21"/>
      <c r="D3" s="20"/>
      <c r="E3" s="20"/>
      <c r="F3" s="20"/>
      <c r="G3" s="20"/>
      <c r="H3" s="20"/>
      <c r="I3" s="20"/>
      <c r="J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15"/>
  <sheetViews>
    <sheetView workbookViewId="0">
      <selection activeCell="A15" sqref="A15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5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5">
        <v>5000</v>
      </c>
    </row>
    <row r="10" spans="1:2" x14ac:dyDescent="0.25">
      <c r="A10" t="s">
        <v>21</v>
      </c>
      <c r="B10" s="4">
        <v>1000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32</v>
      </c>
      <c r="B12" s="4">
        <v>50000</v>
      </c>
    </row>
    <row r="13" spans="1:2" x14ac:dyDescent="0.25">
      <c r="A13" t="s">
        <v>27</v>
      </c>
      <c r="B13" s="4">
        <v>20000</v>
      </c>
    </row>
    <row r="14" spans="1:2" x14ac:dyDescent="0.25">
      <c r="A14" t="s">
        <v>28</v>
      </c>
      <c r="B14" s="4">
        <v>100000</v>
      </c>
    </row>
    <row r="15" spans="1:2" x14ac:dyDescent="0.25">
      <c r="A15" t="s">
        <v>31</v>
      </c>
      <c r="B15" s="4">
        <v>0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3"/>
  <sheetViews>
    <sheetView workbookViewId="0">
      <selection activeCell="A15" sqref="A15"/>
    </sheetView>
  </sheetViews>
  <sheetFormatPr defaultRowHeight="15" x14ac:dyDescent="0.25"/>
  <cols>
    <col min="1" max="1" width="20.1406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1" spans="1:2" x14ac:dyDescent="0.25">
      <c r="A11" t="s">
        <v>29</v>
      </c>
      <c r="B11" s="1">
        <v>6.4999999999999997E-3</v>
      </c>
    </row>
    <row r="12" spans="1:2" x14ac:dyDescent="0.25">
      <c r="A12" t="s">
        <v>32</v>
      </c>
      <c r="B12" s="1">
        <v>3.0000000000000001E-3</v>
      </c>
    </row>
    <row r="13" spans="1:2" x14ac:dyDescent="0.25">
      <c r="A13" t="s">
        <v>27</v>
      </c>
      <c r="B13" s="1">
        <v>5.0000000000000001E-3</v>
      </c>
    </row>
    <row r="14" spans="1:2" x14ac:dyDescent="0.25">
      <c r="A14" t="s">
        <v>28</v>
      </c>
      <c r="B14" s="1">
        <v>4.0000000000000001E-3</v>
      </c>
    </row>
    <row r="15" spans="1:2" x14ac:dyDescent="0.25">
      <c r="A15" t="s">
        <v>31</v>
      </c>
      <c r="B15" s="1">
        <v>5.0000000000000001E-3</v>
      </c>
    </row>
    <row r="16" spans="1:2" x14ac:dyDescent="0.25">
      <c r="B16" s="1"/>
    </row>
    <row r="17" spans="1:2" x14ac:dyDescent="0.25">
      <c r="B17" s="1"/>
    </row>
    <row r="18" spans="1:2" x14ac:dyDescent="0.25">
      <c r="B18" s="1"/>
    </row>
    <row r="20" spans="1:2" x14ac:dyDescent="0.25">
      <c r="A20" t="s">
        <v>14</v>
      </c>
      <c r="B20" t="s">
        <v>1</v>
      </c>
    </row>
    <row r="21" spans="1:2" x14ac:dyDescent="0.25">
      <c r="A21" s="4">
        <v>0</v>
      </c>
      <c r="B21" s="1">
        <v>8.0000000000000002E-3</v>
      </c>
    </row>
    <row r="22" spans="1:2" x14ac:dyDescent="0.25">
      <c r="A22" s="4">
        <v>25000</v>
      </c>
      <c r="B22" s="1">
        <v>8.0000000000000002E-3</v>
      </c>
    </row>
    <row r="23" spans="1:2" x14ac:dyDescent="0.25">
      <c r="A23" s="4">
        <v>50000</v>
      </c>
      <c r="B23" s="1">
        <v>7.0000000000000001E-3</v>
      </c>
    </row>
    <row r="24" spans="1:2" x14ac:dyDescent="0.25">
      <c r="A24" s="4">
        <v>10000</v>
      </c>
      <c r="B24" s="1">
        <v>6.0000000000000001E-3</v>
      </c>
    </row>
    <row r="25" spans="1:2" x14ac:dyDescent="0.25">
      <c r="A25" s="4">
        <v>250000</v>
      </c>
      <c r="B25" s="1">
        <v>5.0000000000000001E-3</v>
      </c>
    </row>
    <row r="26" spans="1:2" x14ac:dyDescent="0.25">
      <c r="A26" s="4">
        <v>500000</v>
      </c>
      <c r="B26" s="1">
        <v>4.0000000000000001E-3</v>
      </c>
    </row>
    <row r="27" spans="1:2" x14ac:dyDescent="0.25">
      <c r="A27" s="4">
        <v>1000000</v>
      </c>
      <c r="B27" s="1">
        <v>3.0000000000000001E-3</v>
      </c>
    </row>
    <row r="29" spans="1:2" x14ac:dyDescent="0.25">
      <c r="A29" t="s">
        <v>14</v>
      </c>
      <c r="B29" t="s">
        <v>1</v>
      </c>
    </row>
    <row r="30" spans="1:2" x14ac:dyDescent="0.25">
      <c r="A30" s="5">
        <v>0</v>
      </c>
      <c r="B30" s="2">
        <v>6.0000000000000001E-3</v>
      </c>
    </row>
    <row r="31" spans="1:2" x14ac:dyDescent="0.25">
      <c r="A31" s="6">
        <v>200000</v>
      </c>
      <c r="B31" s="3">
        <v>6.0000000000000001E-3</v>
      </c>
    </row>
    <row r="32" spans="1:2" x14ac:dyDescent="0.25">
      <c r="A32" s="5">
        <v>1000000</v>
      </c>
      <c r="B32" s="2">
        <v>5.0000000000000001E-3</v>
      </c>
    </row>
    <row r="33" spans="1:2" x14ac:dyDescent="0.25">
      <c r="A33" s="6">
        <v>5000000</v>
      </c>
      <c r="B33" s="3">
        <v>3.5000000000000001E-3</v>
      </c>
    </row>
    <row r="34" spans="1:2" x14ac:dyDescent="0.25">
      <c r="A34" s="7">
        <v>1000000000000</v>
      </c>
      <c r="B34" s="8">
        <v>2.5000000000000001E-3</v>
      </c>
    </row>
    <row r="36" spans="1:2" x14ac:dyDescent="0.25">
      <c r="A36" t="s">
        <v>14</v>
      </c>
      <c r="B36" t="s">
        <v>1</v>
      </c>
    </row>
    <row r="37" spans="1:2" x14ac:dyDescent="0.25">
      <c r="A37" s="4">
        <v>0</v>
      </c>
      <c r="B37" s="14">
        <v>0</v>
      </c>
    </row>
    <row r="38" spans="1:2" x14ac:dyDescent="0.25">
      <c r="A38" s="4">
        <v>50000</v>
      </c>
      <c r="B38" s="1">
        <v>3.0000000000000001E-3</v>
      </c>
    </row>
    <row r="40" spans="1:2" x14ac:dyDescent="0.25">
      <c r="A40" t="s">
        <v>14</v>
      </c>
      <c r="B40" t="s">
        <v>1</v>
      </c>
    </row>
    <row r="41" spans="1:2" x14ac:dyDescent="0.25">
      <c r="A41" s="4">
        <v>0</v>
      </c>
      <c r="B41" s="1">
        <v>8.8000000000000005E-3</v>
      </c>
    </row>
    <row r="42" spans="1:2" x14ac:dyDescent="0.25">
      <c r="A42" s="4">
        <v>50000</v>
      </c>
      <c r="B42" s="1">
        <v>6.7999999999999996E-3</v>
      </c>
    </row>
    <row r="43" spans="1:2" x14ac:dyDescent="0.25">
      <c r="A43" s="4">
        <v>100000</v>
      </c>
      <c r="B43" s="1">
        <v>5.0000000000000001E-3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E25" sqref="E25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24.495173999999999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6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  <row r="11" spans="1:2" x14ac:dyDescent="0.25">
      <c r="A11" t="s">
        <v>29</v>
      </c>
      <c r="B11" s="4">
        <v>0</v>
      </c>
    </row>
    <row r="12" spans="1:2" x14ac:dyDescent="0.25">
      <c r="A12" t="s">
        <v>32</v>
      </c>
      <c r="B12" s="4">
        <v>0</v>
      </c>
    </row>
    <row r="13" spans="1:2" x14ac:dyDescent="0.25">
      <c r="A13" t="s">
        <v>27</v>
      </c>
      <c r="B13" s="4">
        <v>0</v>
      </c>
    </row>
    <row r="14" spans="1:2" x14ac:dyDescent="0.25">
      <c r="A14" t="s">
        <v>28</v>
      </c>
      <c r="B14" s="4">
        <v>0</v>
      </c>
    </row>
    <row r="15" spans="1:2" x14ac:dyDescent="0.25">
      <c r="A15" t="s">
        <v>31</v>
      </c>
      <c r="B15" s="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D7" sqref="D7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1.360843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2019-11-06T18:19:29Z</dcterms:modified>
</cp:coreProperties>
</file>